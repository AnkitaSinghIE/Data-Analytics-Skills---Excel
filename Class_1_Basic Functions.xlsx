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psico-my.sharepoint.com/personal/ankita_singh1_pepsico_com/Documents/Desktop/pp/Notes/DA_S/Data Analytics Skill Up/Materials/Excel/Materials/"/>
    </mc:Choice>
  </mc:AlternateContent>
  <xr:revisionPtr revIDLastSave="192" documentId="13_ncr:1_{154A29F4-37FC-4C63-8F1A-F231C5F65490}" xr6:coauthVersionLast="47" xr6:coauthVersionMax="47" xr10:uidLastSave="{ADFBF0BC-C16E-43B1-A3F7-FF1B5E69187E}"/>
  <bookViews>
    <workbookView xWindow="-110" yWindow="-110" windowWidth="19420" windowHeight="11500" activeTab="1" xr2:uid="{077F45A9-E208-43A4-A864-11E1B92D7E08}"/>
  </bookViews>
  <sheets>
    <sheet name="Region Sales" sheetId="1" r:id="rId1"/>
    <sheet name="Named range" sheetId="2" r:id="rId2"/>
  </sheets>
  <definedNames>
    <definedName name="sal">'Named range'!$B$2:$B$14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" l="1"/>
  <c r="G6" i="2"/>
  <c r="G5" i="2"/>
  <c r="G4" i="2"/>
  <c r="G3" i="2"/>
  <c r="F3" i="2"/>
  <c r="F7" i="2"/>
  <c r="F6" i="2"/>
  <c r="F5" i="2"/>
  <c r="F4" i="2"/>
  <c r="G11" i="1"/>
  <c r="G14" i="1"/>
  <c r="G13" i="1"/>
  <c r="G12" i="1"/>
  <c r="G10" i="1"/>
  <c r="G9" i="1"/>
  <c r="J10" i="1"/>
  <c r="G8" i="1"/>
  <c r="G7" i="1"/>
  <c r="G6" i="1"/>
  <c r="G5" i="1"/>
  <c r="G4" i="1"/>
  <c r="G3" i="1"/>
  <c r="I4" i="2"/>
  <c r="I6" i="2"/>
  <c r="I7" i="2"/>
  <c r="I5" i="2"/>
  <c r="I3" i="2"/>
  <c r="H7" i="2"/>
  <c r="H12" i="1"/>
  <c r="H5" i="2"/>
  <c r="H13" i="1"/>
  <c r="H6" i="2"/>
  <c r="H14" i="1"/>
  <c r="H3" i="2"/>
  <c r="H3" i="1"/>
  <c r="H10" i="1"/>
  <c r="H9" i="1"/>
  <c r="H4" i="1"/>
  <c r="H5" i="1"/>
  <c r="H6" i="1"/>
  <c r="H7" i="1"/>
  <c r="H8" i="1"/>
  <c r="H4" i="2"/>
  <c r="H11" i="1"/>
</calcChain>
</file>

<file path=xl/sharedStrings.xml><?xml version="1.0" encoding="utf-8"?>
<sst xmlns="http://schemas.openxmlformats.org/spreadsheetml/2006/main" count="88" uniqueCount="60">
  <si>
    <t>Region</t>
  </si>
  <si>
    <t>Central</t>
  </si>
  <si>
    <t>East</t>
  </si>
  <si>
    <t>South</t>
  </si>
  <si>
    <t>West</t>
  </si>
  <si>
    <t>Sales</t>
  </si>
  <si>
    <t>Average</t>
  </si>
  <si>
    <t>Sum</t>
  </si>
  <si>
    <t>Min</t>
  </si>
  <si>
    <t>Max</t>
  </si>
  <si>
    <t>Count</t>
  </si>
  <si>
    <t>Counta</t>
  </si>
  <si>
    <t>countblank</t>
  </si>
  <si>
    <t>countif</t>
  </si>
  <si>
    <t>sumif</t>
  </si>
  <si>
    <t>Averageif</t>
  </si>
  <si>
    <t>large</t>
  </si>
  <si>
    <t>Small</t>
  </si>
  <si>
    <t>Formulas</t>
  </si>
  <si>
    <t>Customer ID</t>
  </si>
  <si>
    <t>CG-12520</t>
  </si>
  <si>
    <t>DV-13045</t>
  </si>
  <si>
    <t>SO-20335</t>
  </si>
  <si>
    <t>BH-11710</t>
  </si>
  <si>
    <t>AA-10480</t>
  </si>
  <si>
    <t>HP-14815</t>
  </si>
  <si>
    <t>PK-19075</t>
  </si>
  <si>
    <t>ZD-21925</t>
  </si>
  <si>
    <t>Quantity</t>
  </si>
  <si>
    <t>Priya Agarwal</t>
  </si>
  <si>
    <t>Prateek Babbar</t>
  </si>
  <si>
    <t>Prakash Dutta</t>
  </si>
  <si>
    <t>Manisha Guha</t>
  </si>
  <si>
    <t>Manish Grover</t>
  </si>
  <si>
    <t>JP Kumar</t>
  </si>
  <si>
    <t>Jharna Biswal</t>
  </si>
  <si>
    <t>Ashwini</t>
  </si>
  <si>
    <t>Arjun Kapoor</t>
  </si>
  <si>
    <t>Arjun Jain</t>
  </si>
  <si>
    <t>Anupam Mishra</t>
  </si>
  <si>
    <t>Anjum Chopra</t>
  </si>
  <si>
    <t>Anjali Thakur</t>
  </si>
  <si>
    <t>Basic</t>
  </si>
  <si>
    <t>Employee Name</t>
  </si>
  <si>
    <t>by using formulatext() funtion</t>
  </si>
  <si>
    <t>COUNT()- only count numbers data</t>
  </si>
  <si>
    <t>COUNTBLANK()- count blanks in the range</t>
  </si>
  <si>
    <t>COUNTA()- count both number and text data</t>
  </si>
  <si>
    <t>COUNTIF()- count non blank based on condition</t>
  </si>
  <si>
    <t>SUMIF()- get the sum based on one condition</t>
  </si>
  <si>
    <t>AVERAGEIF()- get the average based on one condition</t>
  </si>
  <si>
    <t>LARGE()- gives the kth lagest value</t>
  </si>
  <si>
    <t>SMALL()- gives the kth smallest value</t>
  </si>
  <si>
    <t>Range=</t>
  </si>
  <si>
    <t>Sal is a named range for B2:B14</t>
  </si>
  <si>
    <t>Fromula for Sal</t>
  </si>
  <si>
    <t xml:space="preserve"> </t>
  </si>
  <si>
    <t>Formula for B2:B14</t>
  </si>
  <si>
    <t>for B2:B14</t>
  </si>
  <si>
    <t>for 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</si>
</sst>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2" borderId="1" xfId="0" applyFont="1" applyFill="1" applyBorder="1"/>
    <xf numFmtId="0" fontId="2" fillId="2" borderId="1" xfId="0" applyFont="1" applyFill="1" applyBorder="1"/>
    <xf numFmtId="0" fontId="1" fillId="2" borderId="1" xfId="0" quotePrefix="1" applyFont="1" applyFill="1" applyBorder="1"/>
    <xf numFmtId="0" fontId="0" fillId="0" borderId="0" xfId="0" quotePrefix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3" borderId="2" xfId="0" applyFill="1" applyBorder="1"/>
    <xf numFmtId="0" fontId="1" fillId="2" borderId="3" xfId="0" applyFont="1" applyFill="1" applyBorder="1"/>
    <xf numFmtId="2" fontId="0" fillId="0" borderId="1" xfId="0" applyNumberFormat="1" applyBorder="1"/>
    <xf numFmtId="0" fontId="0" fillId="4" borderId="1" xfId="0" applyFill="1" applyBorder="1"/>
    <xf numFmtId="0" fontId="0" fillId="5" borderId="1" xfId="0" applyFill="1" applyBorder="1"/>
    <xf numFmtId="1" fontId="0" fillId="0" borderId="1" xfId="0" applyNumberFormat="1" applyBorder="1"/>
    <xf numFmtId="0" fontId="0" fillId="6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5092F-1F78-412F-9DE7-C5FC7B19C618}">
  <dimension ref="A1:J27"/>
  <sheetViews>
    <sheetView workbookViewId="0">
      <selection activeCell="G12" sqref="G12"/>
    </sheetView>
  </sheetViews>
  <sheetFormatPr defaultRowHeight="14.5" x14ac:dyDescent="0.35"/>
  <cols>
    <col min="1" max="1" width="13" customWidth="1"/>
    <col min="6" max="6" width="13" customWidth="1"/>
    <col min="7" max="7" width="17.453125" customWidth="1"/>
    <col min="8" max="8" width="31.7265625" customWidth="1"/>
    <col min="9" max="9" width="45" customWidth="1"/>
  </cols>
  <sheetData>
    <row r="1" spans="1:10" x14ac:dyDescent="0.35">
      <c r="A1" s="4" t="s">
        <v>19</v>
      </c>
      <c r="B1" s="5" t="s">
        <v>0</v>
      </c>
      <c r="C1" s="3" t="s">
        <v>5</v>
      </c>
      <c r="D1" s="3" t="s">
        <v>28</v>
      </c>
    </row>
    <row r="2" spans="1:10" x14ac:dyDescent="0.35">
      <c r="A2" s="1" t="s">
        <v>20</v>
      </c>
      <c r="B2" s="2" t="s">
        <v>1</v>
      </c>
      <c r="C2" s="2">
        <v>16.448</v>
      </c>
      <c r="D2" s="1">
        <v>3</v>
      </c>
      <c r="H2" s="11" t="s">
        <v>18</v>
      </c>
      <c r="I2" s="9" t="s">
        <v>44</v>
      </c>
    </row>
    <row r="3" spans="1:10" x14ac:dyDescent="0.35">
      <c r="A3" s="1" t="s">
        <v>20</v>
      </c>
      <c r="B3" s="2" t="s">
        <v>1</v>
      </c>
      <c r="C3" s="2">
        <v>3.5399999999999991</v>
      </c>
      <c r="D3" s="1">
        <v>2</v>
      </c>
      <c r="F3" s="3" t="s">
        <v>7</v>
      </c>
      <c r="G3" s="12">
        <f>SUM(C2:C21)</f>
        <v>4913.6760000000004</v>
      </c>
      <c r="H3" s="1" t="str">
        <f ca="1">_xlfn.FORMULATEXT(G3)</f>
        <v>=SUM(C2:C21)</v>
      </c>
    </row>
    <row r="4" spans="1:10" x14ac:dyDescent="0.35">
      <c r="A4" s="1" t="s">
        <v>21</v>
      </c>
      <c r="B4" s="2" t="s">
        <v>1</v>
      </c>
      <c r="C4" s="2">
        <v>11.784000000000001</v>
      </c>
      <c r="D4" s="1">
        <v>5</v>
      </c>
      <c r="F4" s="3" t="s">
        <v>6</v>
      </c>
      <c r="G4" s="12">
        <f>AVERAGE(C2:C21)</f>
        <v>245.68380000000002</v>
      </c>
      <c r="H4" s="1" t="str">
        <f t="shared" ref="H4:H14" ca="1" si="0">_xlfn.FORMULATEXT(G4)</f>
        <v>=AVERAGE(C2:C21)</v>
      </c>
    </row>
    <row r="5" spans="1:10" x14ac:dyDescent="0.35">
      <c r="A5" s="1" t="s">
        <v>22</v>
      </c>
      <c r="B5" s="2" t="s">
        <v>1</v>
      </c>
      <c r="C5" s="2">
        <v>272.73599999999999</v>
      </c>
      <c r="D5" s="1">
        <v>2</v>
      </c>
      <c r="F5" s="3" t="s">
        <v>8</v>
      </c>
      <c r="G5" s="12">
        <f>MIN(C2:C21)</f>
        <v>2.89</v>
      </c>
      <c r="H5" s="1" t="str">
        <f t="shared" ca="1" si="0"/>
        <v>=MIN(C2:C21)</v>
      </c>
    </row>
    <row r="6" spans="1:10" x14ac:dyDescent="0.35">
      <c r="A6" s="1" t="s">
        <v>22</v>
      </c>
      <c r="B6" s="2" t="s">
        <v>2</v>
      </c>
      <c r="C6" s="2">
        <v>19.536000000000001</v>
      </c>
      <c r="D6" s="1">
        <v>7</v>
      </c>
      <c r="F6" s="3" t="s">
        <v>9</v>
      </c>
      <c r="G6" s="12">
        <f>MAX(C2:C21)</f>
        <v>2573.8200000000002</v>
      </c>
      <c r="H6" s="1" t="str">
        <f t="shared" ca="1" si="0"/>
        <v>=MAX(C2:C21)</v>
      </c>
    </row>
    <row r="7" spans="1:10" x14ac:dyDescent="0.35">
      <c r="A7" s="1" t="s">
        <v>23</v>
      </c>
      <c r="B7" s="2" t="s">
        <v>3</v>
      </c>
      <c r="C7" s="2">
        <v>2573.8200000000002</v>
      </c>
      <c r="D7" s="1">
        <v>4</v>
      </c>
      <c r="F7" s="3" t="s">
        <v>10</v>
      </c>
      <c r="G7" s="1">
        <f>COUNT(C2:C21)</f>
        <v>20</v>
      </c>
      <c r="H7" s="1" t="str">
        <f t="shared" ca="1" si="0"/>
        <v>=COUNT(C2:C21)</v>
      </c>
      <c r="I7" s="10" t="s">
        <v>45</v>
      </c>
    </row>
    <row r="8" spans="1:10" x14ac:dyDescent="0.35">
      <c r="A8" s="1" t="s">
        <v>23</v>
      </c>
      <c r="B8" s="2" t="s">
        <v>3</v>
      </c>
      <c r="C8" s="2">
        <v>5.48</v>
      </c>
      <c r="D8" s="1">
        <v>6</v>
      </c>
      <c r="F8" s="3" t="s">
        <v>11</v>
      </c>
      <c r="G8" s="1">
        <f>COUNTA(B2:B21)</f>
        <v>20</v>
      </c>
      <c r="H8" s="1" t="str">
        <f t="shared" ca="1" si="0"/>
        <v>=COUNTA(B2:B21)</v>
      </c>
      <c r="I8" s="10" t="s">
        <v>47</v>
      </c>
    </row>
    <row r="9" spans="1:10" x14ac:dyDescent="0.35">
      <c r="A9" s="1" t="s">
        <v>23</v>
      </c>
      <c r="B9" s="2" t="s">
        <v>3</v>
      </c>
      <c r="C9" s="2">
        <v>12.78</v>
      </c>
      <c r="D9" s="1">
        <v>3</v>
      </c>
      <c r="F9" s="3" t="s">
        <v>12</v>
      </c>
      <c r="G9" s="1">
        <f>COUNTBLANK(A2:A21)</f>
        <v>5</v>
      </c>
      <c r="H9" s="1" t="str">
        <f ca="1">_xlfn.FORMULATEXT(G9)</f>
        <v>=COUNTBLANK(A2:A21)</v>
      </c>
      <c r="I9" s="9" t="s">
        <v>46</v>
      </c>
    </row>
    <row r="10" spans="1:10" x14ac:dyDescent="0.35">
      <c r="A10" s="1"/>
      <c r="B10" s="2" t="s">
        <v>2</v>
      </c>
      <c r="C10" s="2">
        <v>609.98</v>
      </c>
      <c r="D10" s="1">
        <v>5</v>
      </c>
      <c r="F10" s="3" t="s">
        <v>13</v>
      </c>
      <c r="G10" s="1">
        <f>COUNTIF(C2:C21,"&gt;600")</f>
        <v>3</v>
      </c>
      <c r="H10" s="1" t="str">
        <f ca="1">_xlfn.FORMULATEXT(G10)</f>
        <v>=COUNTIF(C2:C21,"&gt;600")</v>
      </c>
      <c r="I10" s="9" t="s">
        <v>48</v>
      </c>
      <c r="J10">
        <f>COUNTIF(C2:C21,"&lt;10")</f>
        <v>5</v>
      </c>
    </row>
    <row r="11" spans="1:10" x14ac:dyDescent="0.35">
      <c r="A11" s="1"/>
      <c r="B11" s="2" t="s">
        <v>3</v>
      </c>
      <c r="C11" s="2">
        <v>31.12</v>
      </c>
      <c r="D11" s="1">
        <v>9</v>
      </c>
      <c r="F11" s="3" t="s">
        <v>14</v>
      </c>
      <c r="G11" s="1">
        <f>SUMIF(B2:B21,"Central",C2:C21)</f>
        <v>421.78</v>
      </c>
      <c r="H11" s="1" t="str">
        <f t="shared" ca="1" si="0"/>
        <v>=SUMIF(B2:B21,"Central",C2:C21)</v>
      </c>
      <c r="I11" s="9" t="s">
        <v>49</v>
      </c>
    </row>
    <row r="12" spans="1:10" x14ac:dyDescent="0.35">
      <c r="A12" s="1"/>
      <c r="B12" s="2" t="s">
        <v>3</v>
      </c>
      <c r="C12" s="2">
        <v>6.54</v>
      </c>
      <c r="D12" s="1">
        <v>4</v>
      </c>
      <c r="F12" s="3" t="s">
        <v>15</v>
      </c>
      <c r="G12" s="1">
        <f>AVERAGEIF(B2:B21,"South",C2:C21)</f>
        <v>478.70250000000004</v>
      </c>
      <c r="H12" s="1" t="str">
        <f t="shared" ca="1" si="0"/>
        <v>=AVERAGEIF(B2:B21,"South",C2:C21)</v>
      </c>
      <c r="I12" s="9" t="s">
        <v>50</v>
      </c>
    </row>
    <row r="13" spans="1:10" x14ac:dyDescent="0.35">
      <c r="A13" s="1" t="s">
        <v>23</v>
      </c>
      <c r="B13" s="2" t="s">
        <v>4</v>
      </c>
      <c r="C13" s="2">
        <v>19.440000000000001</v>
      </c>
      <c r="D13" s="1">
        <v>3</v>
      </c>
      <c r="F13" s="3" t="s">
        <v>16</v>
      </c>
      <c r="G13" s="1">
        <f>LARGE(C2:C21,2)</f>
        <v>755.96</v>
      </c>
      <c r="H13" s="1" t="str">
        <f t="shared" ca="1" si="0"/>
        <v>=LARGE(C2:C21,2)</v>
      </c>
      <c r="I13" s="9" t="s">
        <v>51</v>
      </c>
    </row>
    <row r="14" spans="1:10" x14ac:dyDescent="0.35">
      <c r="A14" s="1" t="s">
        <v>24</v>
      </c>
      <c r="B14" s="2" t="s">
        <v>3</v>
      </c>
      <c r="C14" s="2">
        <v>755.96</v>
      </c>
      <c r="D14" s="1">
        <v>3</v>
      </c>
      <c r="F14" s="3" t="s">
        <v>17</v>
      </c>
      <c r="G14" s="1">
        <f>SMALL(C2:C21,3)</f>
        <v>5.48</v>
      </c>
      <c r="H14" s="1" t="str">
        <f t="shared" ca="1" si="0"/>
        <v>=SMALL(C2:C21,3)</v>
      </c>
      <c r="I14" s="9" t="s">
        <v>52</v>
      </c>
    </row>
    <row r="15" spans="1:10" x14ac:dyDescent="0.35">
      <c r="A15" s="1"/>
      <c r="B15" s="2" t="s">
        <v>3</v>
      </c>
      <c r="C15" s="2">
        <v>391.98</v>
      </c>
      <c r="D15" s="1">
        <v>5</v>
      </c>
    </row>
    <row r="16" spans="1:10" x14ac:dyDescent="0.35">
      <c r="A16" s="1" t="s">
        <v>25</v>
      </c>
      <c r="B16" s="2" t="s">
        <v>1</v>
      </c>
      <c r="C16" s="2">
        <v>76.728000000000009</v>
      </c>
      <c r="D16" s="1">
        <v>3</v>
      </c>
    </row>
    <row r="17" spans="1:4" x14ac:dyDescent="0.35">
      <c r="A17" s="1" t="s">
        <v>25</v>
      </c>
      <c r="B17" s="2" t="s">
        <v>2</v>
      </c>
      <c r="C17" s="2">
        <v>10.429999999999998</v>
      </c>
      <c r="D17" s="1">
        <v>6</v>
      </c>
    </row>
    <row r="18" spans="1:4" x14ac:dyDescent="0.35">
      <c r="A18" s="1" t="s">
        <v>26</v>
      </c>
      <c r="B18" s="2" t="s">
        <v>1</v>
      </c>
      <c r="C18" s="2">
        <v>9.3439999999999994</v>
      </c>
      <c r="D18" s="1">
        <v>2</v>
      </c>
    </row>
    <row r="19" spans="1:4" x14ac:dyDescent="0.35">
      <c r="A19" s="1"/>
      <c r="B19" s="2" t="s">
        <v>1</v>
      </c>
      <c r="C19" s="2">
        <v>31.200000000000003</v>
      </c>
      <c r="D19" s="1">
        <v>2</v>
      </c>
    </row>
    <row r="20" spans="1:4" x14ac:dyDescent="0.35">
      <c r="A20" s="1" t="s">
        <v>27</v>
      </c>
      <c r="B20" s="2" t="s">
        <v>3</v>
      </c>
      <c r="C20" s="2">
        <v>51.94</v>
      </c>
      <c r="D20" s="1">
        <v>3</v>
      </c>
    </row>
    <row r="21" spans="1:4" x14ac:dyDescent="0.35">
      <c r="A21" s="1" t="s">
        <v>27</v>
      </c>
      <c r="B21" s="2" t="s">
        <v>4</v>
      </c>
      <c r="C21" s="2">
        <v>2.89</v>
      </c>
      <c r="D21" s="1">
        <v>4</v>
      </c>
    </row>
    <row r="22" spans="1:4" x14ac:dyDescent="0.35">
      <c r="B22" s="6"/>
      <c r="C22" s="6"/>
    </row>
    <row r="23" spans="1:4" x14ac:dyDescent="0.35">
      <c r="B23" s="6"/>
      <c r="C23" s="6"/>
    </row>
    <row r="24" spans="1:4" x14ac:dyDescent="0.35">
      <c r="B24" s="6"/>
      <c r="C24" s="6"/>
    </row>
    <row r="25" spans="1:4" x14ac:dyDescent="0.35">
      <c r="B25" s="6"/>
      <c r="C25" s="6"/>
    </row>
    <row r="26" spans="1:4" x14ac:dyDescent="0.35">
      <c r="B26" s="6"/>
      <c r="C26" s="6"/>
    </row>
    <row r="27" spans="1:4" x14ac:dyDescent="0.35">
      <c r="C2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5CEF2-9DF0-43A8-8B98-5D0BCE89E80F}">
  <dimension ref="A1:J14"/>
  <sheetViews>
    <sheetView tabSelected="1" zoomScale="126" zoomScaleNormal="126" workbookViewId="0">
      <selection activeCell="G13" sqref="G13"/>
    </sheetView>
  </sheetViews>
  <sheetFormatPr defaultRowHeight="14.5" x14ac:dyDescent="0.35"/>
  <cols>
    <col min="1" max="1" width="15.453125" customWidth="1"/>
    <col min="6" max="6" width="10" customWidth="1"/>
    <col min="8" max="8" width="17.08984375" customWidth="1"/>
    <col min="9" max="9" width="16.6328125" customWidth="1"/>
  </cols>
  <sheetData>
    <row r="1" spans="1:10" x14ac:dyDescent="0.35">
      <c r="A1" s="7" t="s">
        <v>43</v>
      </c>
      <c r="B1" s="7" t="s">
        <v>42</v>
      </c>
    </row>
    <row r="2" spans="1:10" x14ac:dyDescent="0.35">
      <c r="A2" s="1" t="s">
        <v>41</v>
      </c>
      <c r="B2" s="1">
        <v>10000</v>
      </c>
      <c r="E2" s="16" t="s">
        <v>53</v>
      </c>
      <c r="F2" s="16" t="s">
        <v>58</v>
      </c>
      <c r="G2" s="16" t="s">
        <v>59</v>
      </c>
      <c r="H2" s="13" t="s">
        <v>55</v>
      </c>
      <c r="I2" s="14" t="s">
        <v>57</v>
      </c>
      <c r="J2" t="s">
        <v>56</v>
      </c>
    </row>
    <row r="3" spans="1:10" x14ac:dyDescent="0.35">
      <c r="A3" s="1" t="s">
        <v>40</v>
      </c>
      <c r="B3" s="1">
        <v>12000</v>
      </c>
      <c r="E3" s="8" t="s">
        <v>7</v>
      </c>
      <c r="F3" s="1">
        <f>SUM(B2:B14)</f>
        <v>131175</v>
      </c>
      <c r="G3" s="1">
        <f>SUM(sal)</f>
        <v>131175</v>
      </c>
      <c r="H3" s="1" t="str">
        <f ca="1">_xlfn.FORMULATEXT(G3)</f>
        <v>=SUM(sal)</v>
      </c>
      <c r="I3" s="1" t="str">
        <f ca="1">_xlfn.FORMULATEXT(F3)</f>
        <v>=SUM(B2:B14)</v>
      </c>
    </row>
    <row r="4" spans="1:10" x14ac:dyDescent="0.35">
      <c r="A4" s="1" t="s">
        <v>39</v>
      </c>
      <c r="B4" s="1">
        <v>11250</v>
      </c>
      <c r="E4" s="8" t="s">
        <v>6</v>
      </c>
      <c r="F4" s="15">
        <f>AVERAGE(B2:B14)</f>
        <v>10090.384615384615</v>
      </c>
      <c r="G4" s="1">
        <f>AVERAGE(sal)</f>
        <v>10090.384615384615</v>
      </c>
      <c r="H4" s="1" t="str">
        <f t="shared" ref="H4:H7" ca="1" si="0">_xlfn.FORMULATEXT(G4)</f>
        <v>=AVERAGE(sal)</v>
      </c>
      <c r="I4" s="1" t="str">
        <f t="shared" ref="I4:I7" ca="1" si="1">_xlfn.FORMULATEXT(F4)</f>
        <v>=AVERAGE(B2:B14)</v>
      </c>
    </row>
    <row r="5" spans="1:10" x14ac:dyDescent="0.35">
      <c r="A5" s="1" t="s">
        <v>38</v>
      </c>
      <c r="B5" s="1">
        <v>12000</v>
      </c>
      <c r="E5" s="8" t="s">
        <v>9</v>
      </c>
      <c r="F5" s="1">
        <f>MAX(B2:B14)</f>
        <v>16250</v>
      </c>
      <c r="G5" s="1">
        <f>MAX(sal)</f>
        <v>16250</v>
      </c>
      <c r="H5" s="1" t="str">
        <f t="shared" ca="1" si="0"/>
        <v>=MAX(sal)</v>
      </c>
      <c r="I5" s="1" t="str">
        <f t="shared" ca="1" si="1"/>
        <v>=MAX(B2:B14)</v>
      </c>
    </row>
    <row r="6" spans="1:10" x14ac:dyDescent="0.35">
      <c r="A6" s="1" t="s">
        <v>37</v>
      </c>
      <c r="B6" s="1">
        <v>16250</v>
      </c>
      <c r="E6" s="8" t="s">
        <v>8</v>
      </c>
      <c r="F6" s="1">
        <f>MIN(B2:B14)</f>
        <v>4500</v>
      </c>
      <c r="G6" s="1">
        <f>MIN(sal)</f>
        <v>4500</v>
      </c>
      <c r="H6" s="1" t="str">
        <f t="shared" ca="1" si="0"/>
        <v>=MIN(sal)</v>
      </c>
      <c r="I6" s="1" t="str">
        <f t="shared" ca="1" si="1"/>
        <v>=MIN(B2:B14)</v>
      </c>
    </row>
    <row r="7" spans="1:10" x14ac:dyDescent="0.35">
      <c r="A7" s="1" t="s">
        <v>36</v>
      </c>
      <c r="B7" s="1">
        <v>6400</v>
      </c>
      <c r="E7" s="8" t="s">
        <v>10</v>
      </c>
      <c r="F7" s="1">
        <f>COUNT(B2:B14)</f>
        <v>13</v>
      </c>
      <c r="G7" s="1">
        <f>COUNT(sal)</f>
        <v>13</v>
      </c>
      <c r="H7" s="1" t="str">
        <f t="shared" ca="1" si="0"/>
        <v>=COUNT(sal)</v>
      </c>
      <c r="I7" s="1" t="str">
        <f t="shared" ca="1" si="1"/>
        <v>=COUNT(B2:B14)</v>
      </c>
    </row>
    <row r="8" spans="1:10" x14ac:dyDescent="0.35">
      <c r="A8" s="1" t="s">
        <v>35</v>
      </c>
      <c r="B8" s="1">
        <v>4500</v>
      </c>
    </row>
    <row r="9" spans="1:10" x14ac:dyDescent="0.35">
      <c r="A9" s="1" t="s">
        <v>34</v>
      </c>
      <c r="B9" s="1">
        <v>6275</v>
      </c>
      <c r="E9" s="17" t="s">
        <v>54</v>
      </c>
      <c r="F9" s="17"/>
      <c r="G9" s="17"/>
    </row>
    <row r="10" spans="1:10" x14ac:dyDescent="0.35">
      <c r="A10" s="1" t="s">
        <v>33</v>
      </c>
      <c r="B10" s="1">
        <v>6250</v>
      </c>
    </row>
    <row r="11" spans="1:10" x14ac:dyDescent="0.35">
      <c r="A11" s="1" t="s">
        <v>32</v>
      </c>
      <c r="B11" s="1">
        <v>8750</v>
      </c>
    </row>
    <row r="12" spans="1:10" x14ac:dyDescent="0.35">
      <c r="A12" s="1" t="s">
        <v>31</v>
      </c>
      <c r="B12" s="1">
        <v>11250</v>
      </c>
    </row>
    <row r="13" spans="1:10" x14ac:dyDescent="0.35">
      <c r="A13" s="1" t="s">
        <v>30</v>
      </c>
      <c r="B13" s="1">
        <v>10000</v>
      </c>
    </row>
    <row r="14" spans="1:10" x14ac:dyDescent="0.35">
      <c r="A14" s="1" t="s">
        <v>29</v>
      </c>
      <c r="B14" s="1">
        <v>16250</v>
      </c>
    </row>
  </sheetData>
  <mergeCells count="1">
    <mergeCell ref="E9:G9"/>
  </mergeCells>
  <dataValidations count="2">
    <dataValidation type="custom" operator="greaterThanOrEqual" allowBlank="1" showInputMessage="1" showErrorMessage="1" sqref="B2:B14" xr:uid="{3968AF47-DB10-4369-86BE-9121C0406822}">
      <formula1>ISNUMBER(B2)</formula1>
    </dataValidation>
    <dataValidation type="custom" allowBlank="1" showInputMessage="1" showErrorMessage="1" sqref="A1:A14" xr:uid="{194FE7B6-A485-47CC-AC51-4CFE8541F87A}">
      <formula1>ISTEXT(A1)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Region Sales</vt:lpstr>
      <vt:lpstr>Named range</vt:lpstr>
      <vt:lpstr>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Nilakshi Gogoi</dc:creator>
  <cp:lastModifiedBy>Singh, Ankita {PEP}</cp:lastModifiedBy>
  <dcterms:created xsi:type="dcterms:W3CDTF">2024-09-03T04:12:24Z</dcterms:created>
  <dcterms:modified xsi:type="dcterms:W3CDTF">2025-10-16T06:35:45Z</dcterms:modified>
</cp:coreProperties>
</file>