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psico-my.sharepoint.com/personal/ankita_singh1_pepsico_com/Documents/Desktop/pp/Notes/DA_S/Data Analytics Skill Up/Excel Class Data and notes/"/>
    </mc:Choice>
  </mc:AlternateContent>
  <xr:revisionPtr revIDLastSave="363" documentId="13_ncr:1_{482C60F6-E5E6-46C8-89FA-B5BA08AB5913}" xr6:coauthVersionLast="47" xr6:coauthVersionMax="47" xr10:uidLastSave="{8DD8A47B-D5EB-4C42-A705-BA50777425C0}"/>
  <bookViews>
    <workbookView xWindow="-110" yWindow="-110" windowWidth="19420" windowHeight="11500" tabRatio="923" xr2:uid="{00000000-000D-0000-FFFF-FFFF00000000}"/>
  </bookViews>
  <sheets>
    <sheet name="Output" sheetId="12" r:id="rId1"/>
    <sheet name="Hlookup" sheetId="3" r:id="rId2"/>
    <sheet name="Xlookup" sheetId="4" r:id="rId3"/>
    <sheet name="Index" sheetId="14" r:id="rId4"/>
    <sheet name="Match" sheetId="15" r:id="rId5"/>
  </sheets>
  <definedNames>
    <definedName name="Main_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4" l="1"/>
  <c r="J7" i="4"/>
  <c r="J8" i="4"/>
  <c r="J9" i="4"/>
  <c r="J10" i="4"/>
  <c r="J11" i="4"/>
  <c r="J5" i="4"/>
  <c r="I6" i="4"/>
  <c r="I7" i="4"/>
  <c r="I8" i="4"/>
  <c r="I9" i="4"/>
  <c r="I10" i="4"/>
  <c r="I11" i="4"/>
  <c r="I5" i="4"/>
  <c r="B15" i="15"/>
  <c r="B11" i="15"/>
  <c r="B13" i="15"/>
  <c r="B14" i="14"/>
  <c r="B12" i="14"/>
  <c r="C16" i="3"/>
  <c r="D16" i="3"/>
  <c r="E16" i="3"/>
  <c r="F16" i="3"/>
  <c r="G16" i="3"/>
  <c r="H16" i="3"/>
  <c r="B16" i="3"/>
  <c r="C15" i="3"/>
  <c r="D15" i="3"/>
  <c r="E15" i="3"/>
  <c r="F15" i="3"/>
  <c r="G15" i="3"/>
  <c r="H15" i="3"/>
  <c r="B15" i="3"/>
  <c r="C14" i="3"/>
  <c r="D14" i="3"/>
  <c r="E14" i="3"/>
  <c r="F14" i="3"/>
  <c r="G14" i="3"/>
  <c r="H14" i="3"/>
  <c r="B14" i="3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2" i="12"/>
  <c r="E15" i="12"/>
  <c r="E16" i="12"/>
  <c r="E4" i="12"/>
  <c r="E5" i="12"/>
  <c r="E11" i="12"/>
  <c r="E2" i="12"/>
  <c r="C15" i="15"/>
  <c r="E17" i="12"/>
  <c r="E6" i="12"/>
  <c r="E18" i="12"/>
  <c r="E7" i="12"/>
  <c r="E8" i="12"/>
  <c r="E9" i="12"/>
  <c r="C14" i="14"/>
  <c r="E13" i="12"/>
  <c r="C12" i="14"/>
  <c r="E14" i="12"/>
  <c r="C13" i="15"/>
  <c r="H1" i="4"/>
  <c r="E10" i="12"/>
  <c r="H2" i="4"/>
  <c r="C11" i="15"/>
  <c r="E12" i="12"/>
  <c r="E3" i="12"/>
</calcChain>
</file>

<file path=xl/sharedStrings.xml><?xml version="1.0" encoding="utf-8"?>
<sst xmlns="http://schemas.openxmlformats.org/spreadsheetml/2006/main" count="243" uniqueCount="68">
  <si>
    <t>Emp Code</t>
  </si>
  <si>
    <t>Employee Name</t>
  </si>
  <si>
    <t>Address</t>
  </si>
  <si>
    <t>City</t>
  </si>
  <si>
    <t>Department</t>
  </si>
  <si>
    <t>Basic</t>
  </si>
  <si>
    <t>JP Kumar</t>
  </si>
  <si>
    <t>Andheri (W)</t>
  </si>
  <si>
    <t>Mumbai</t>
  </si>
  <si>
    <t>Training</t>
  </si>
  <si>
    <t>Anjali Thakur</t>
  </si>
  <si>
    <t>Govindpuri</t>
  </si>
  <si>
    <t>Delhi</t>
  </si>
  <si>
    <t>Accounts</t>
  </si>
  <si>
    <t>Priya Agarwal</t>
  </si>
  <si>
    <t>Sector 9</t>
  </si>
  <si>
    <t>Noida</t>
  </si>
  <si>
    <t>Marketing</t>
  </si>
  <si>
    <t>R Vasu</t>
  </si>
  <si>
    <t>Egmore</t>
  </si>
  <si>
    <t>Chennai</t>
  </si>
  <si>
    <t>R&amp;D</t>
  </si>
  <si>
    <t>Sanjay Gupta</t>
  </si>
  <si>
    <t>G K - II</t>
  </si>
  <si>
    <t>Jharna Biswal</t>
  </si>
  <si>
    <t>Link Road</t>
  </si>
  <si>
    <t>Cuttack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</si>
  <si>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</si>
  <si>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</si>
  <si>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</si>
  <si>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</si>
  <si>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</si>
  <si>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</si>
  <si>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</si>
  <si>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pune</t>
  </si>
  <si>
    <t>Arjun Kapoor</t>
  </si>
  <si>
    <t>Kormangala</t>
  </si>
  <si>
    <t>karimnagar</t>
  </si>
  <si>
    <t>Abrar</t>
  </si>
  <si>
    <t>Jayanagar</t>
  </si>
  <si>
    <t>Bangalore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</si>
  <si>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</si>
  <si>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</si>
  <si>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</si>
  <si>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</si>
  <si>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</si>
  <si>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</si>
  <si>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</si>
  <si>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</si>
  <si>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</si>
  <si>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</si>
  <si>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</si>
  <si>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</si>
  <si>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</si>
  <si>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</si>
  <si>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</si>
  <si>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</si>
  <si>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</si>
  <si>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</si>
  <si>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</si>
  <si>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Basic Salary</t>
  </si>
  <si>
    <t>Get the 3rd employees Department</t>
  </si>
  <si>
    <t>Get the Salary of Anjali Thakur</t>
  </si>
  <si>
    <t>Formulas</t>
  </si>
  <si>
    <t xml:space="preserve">Get the city of 2 employee </t>
  </si>
  <si>
    <t>Match--&gt; match function finds the position of something within the range</t>
  </si>
  <si>
    <t>Position of Anjali Thakur</t>
  </si>
  <si>
    <t>Get the address of R Vasu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</si>
</sst>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B224-B942-41FB-8B80-537C2D308461}">
  <dimension ref="A1:J18"/>
  <sheetViews>
    <sheetView tabSelected="1" zoomScale="90" zoomScaleNormal="130" workbookViewId="0">
      <selection activeCell="E2" sqref="E2:J18"/>
    </sheetView>
  </sheetViews>
  <sheetFormatPr defaultRowHeight="14.5" x14ac:dyDescent="0.35"/>
  <cols>
    <col min="1" max="1" width="14.54296875" customWidth="1"/>
    <col min="2" max="2" width="19.453125" customWidth="1"/>
    <col min="3" max="3" width="14.54296875" customWidth="1"/>
    <col min="4" max="4" width="23.54296875" customWidth="1"/>
    <col min="8" max="8" width="12.81640625" customWidth="1"/>
  </cols>
  <sheetData>
    <row r="1" spans="1:10" x14ac:dyDescent="0.35">
      <c r="A1" s="9" t="s">
        <v>0</v>
      </c>
      <c r="B1" s="9" t="s">
        <v>1</v>
      </c>
      <c r="C1" s="9" t="s">
        <v>3</v>
      </c>
      <c r="D1" s="9" t="s">
        <v>60</v>
      </c>
      <c r="E1" s="13" t="s">
        <v>63</v>
      </c>
      <c r="F1" s="13"/>
      <c r="G1" s="13"/>
      <c r="H1" s="13"/>
      <c r="I1" s="13"/>
      <c r="J1" s="13"/>
    </row>
    <row r="2" spans="1:10" x14ac:dyDescent="0.35">
      <c r="A2" s="10">
        <v>4</v>
      </c>
      <c r="B2" s="10" t="str">
        <f t="shared" ref="B2:B18" si="0">IFERROR(VLOOKUP(A2,Main_Table1,2,FALSE),"Emp not found")</f>
        <v>Emp not found</v>
      </c>
      <c r="C2" s="10" t="str">
        <f t="shared" ref="C2:C18" si="1">IFERROR(VLOOKUP(A2,Main_Table1,4,FALSE),"Emp not found")</f>
        <v>Emp not found</v>
      </c>
      <c r="D2" s="10" t="str">
        <f t="shared" ref="D2:D18" si="2">IFERROR(VLOOKUP(A2,Main_Table1,7,FALSE),"Emp not found")</f>
        <v>Emp not found</v>
      </c>
      <c r="E2" s="12" t="str">
        <f ca="1">_xlfn.FORMULATEXT(D2)</f>
        <v>=IFERROR(VLOOKUP(A2,Main_Table1,7,FALSE),"Emp not found")</v>
      </c>
      <c r="F2" s="12"/>
      <c r="G2" s="12"/>
      <c r="H2" s="12"/>
      <c r="I2" s="12"/>
      <c r="J2" s="12"/>
    </row>
    <row r="3" spans="1:10" x14ac:dyDescent="0.35">
      <c r="A3" s="10">
        <v>11</v>
      </c>
      <c r="B3" s="10" t="str">
        <f t="shared" si="0"/>
        <v>Emp not found</v>
      </c>
      <c r="C3" s="10" t="str">
        <f t="shared" si="1"/>
        <v>Emp not found</v>
      </c>
      <c r="D3" s="10" t="str">
        <f t="shared" si="2"/>
        <v>Emp not found</v>
      </c>
      <c r="E3" s="12" t="str">
        <f t="shared" ref="E3:E18" ca="1" si="3">_xlfn.FORMULATEXT(D3)</f>
        <v>=IFERROR(VLOOKUP(A3,Main_Table1,7,FALSE),"Emp not found")</v>
      </c>
      <c r="F3" s="12"/>
      <c r="G3" s="12"/>
      <c r="H3" s="12"/>
      <c r="I3" s="12"/>
      <c r="J3" s="12"/>
    </row>
    <row r="4" spans="1:10" x14ac:dyDescent="0.35">
      <c r="A4" s="10">
        <v>7</v>
      </c>
      <c r="B4" s="10" t="str">
        <f t="shared" si="0"/>
        <v>Emp not found</v>
      </c>
      <c r="C4" s="10" t="str">
        <f t="shared" si="1"/>
        <v>Emp not found</v>
      </c>
      <c r="D4" s="10" t="str">
        <f t="shared" si="2"/>
        <v>Emp not found</v>
      </c>
      <c r="E4" s="12" t="str">
        <f t="shared" ca="1" si="3"/>
        <v>=IFERROR(VLOOKUP(A4,Main_Table1,7,FALSE),"Emp not found")</v>
      </c>
      <c r="F4" s="12"/>
      <c r="G4" s="12"/>
      <c r="H4" s="12"/>
      <c r="I4" s="12"/>
      <c r="J4" s="12"/>
    </row>
    <row r="5" spans="1:10" x14ac:dyDescent="0.35">
      <c r="A5" s="10">
        <v>5</v>
      </c>
      <c r="B5" s="10" t="str">
        <f t="shared" si="0"/>
        <v>Emp not found</v>
      </c>
      <c r="C5" s="10" t="str">
        <f t="shared" si="1"/>
        <v>Emp not found</v>
      </c>
      <c r="D5" s="10" t="str">
        <f t="shared" si="2"/>
        <v>Emp not found</v>
      </c>
      <c r="E5" s="12" t="str">
        <f t="shared" ca="1" si="3"/>
        <v>=IFERROR(VLOOKUP(A5,Main_Table1,7,FALSE),"Emp not found")</v>
      </c>
      <c r="F5" s="12"/>
      <c r="G5" s="12"/>
      <c r="H5" s="12"/>
      <c r="I5" s="12"/>
      <c r="J5" s="12"/>
    </row>
    <row r="6" spans="1:10" x14ac:dyDescent="0.35">
      <c r="A6" s="10">
        <v>1</v>
      </c>
      <c r="B6" s="10" t="str">
        <f t="shared" si="0"/>
        <v>Emp not found</v>
      </c>
      <c r="C6" s="10" t="str">
        <f t="shared" si="1"/>
        <v>Emp not found</v>
      </c>
      <c r="D6" s="10" t="str">
        <f t="shared" si="2"/>
        <v>Emp not found</v>
      </c>
      <c r="E6" s="12" t="str">
        <f t="shared" ca="1" si="3"/>
        <v>=IFERROR(VLOOKUP(A6,Main_Table1,7,FALSE),"Emp not found")</v>
      </c>
      <c r="F6" s="12"/>
      <c r="G6" s="12"/>
      <c r="H6" s="12"/>
      <c r="I6" s="12"/>
      <c r="J6" s="12"/>
    </row>
    <row r="7" spans="1:10" x14ac:dyDescent="0.35">
      <c r="A7" s="10">
        <v>6</v>
      </c>
      <c r="B7" s="10" t="str">
        <f t="shared" si="0"/>
        <v>Emp not found</v>
      </c>
      <c r="C7" s="10" t="str">
        <f t="shared" si="1"/>
        <v>Emp not found</v>
      </c>
      <c r="D7" s="10" t="str">
        <f t="shared" si="2"/>
        <v>Emp not found</v>
      </c>
      <c r="E7" s="12" t="str">
        <f t="shared" ca="1" si="3"/>
        <v>=IFERROR(VLOOKUP(A7,Main_Table1,7,FALSE),"Emp not found")</v>
      </c>
      <c r="F7" s="12"/>
      <c r="G7" s="12"/>
      <c r="H7" s="12"/>
      <c r="I7" s="12"/>
      <c r="J7" s="12"/>
    </row>
    <row r="8" spans="1:10" x14ac:dyDescent="0.35">
      <c r="A8" s="10">
        <v>1</v>
      </c>
      <c r="B8" s="10" t="str">
        <f t="shared" si="0"/>
        <v>Emp not found</v>
      </c>
      <c r="C8" s="10" t="str">
        <f t="shared" si="1"/>
        <v>Emp not found</v>
      </c>
      <c r="D8" s="10" t="str">
        <f t="shared" si="2"/>
        <v>Emp not found</v>
      </c>
      <c r="E8" s="12" t="str">
        <f t="shared" ca="1" si="3"/>
        <v>=IFERROR(VLOOKUP(A8,Main_Table1,7,FALSE),"Emp not found")</v>
      </c>
      <c r="F8" s="12"/>
      <c r="G8" s="12"/>
      <c r="H8" s="12"/>
      <c r="I8" s="12"/>
      <c r="J8" s="12"/>
    </row>
    <row r="9" spans="1:10" x14ac:dyDescent="0.35">
      <c r="A9" s="10">
        <v>12</v>
      </c>
      <c r="B9" s="10" t="str">
        <f t="shared" si="0"/>
        <v>Emp not found</v>
      </c>
      <c r="C9" s="10" t="str">
        <f t="shared" si="1"/>
        <v>Emp not found</v>
      </c>
      <c r="D9" s="10" t="str">
        <f t="shared" si="2"/>
        <v>Emp not found</v>
      </c>
      <c r="E9" s="12" t="str">
        <f t="shared" ca="1" si="3"/>
        <v>=IFERROR(VLOOKUP(A9,Main_Table1,7,FALSE),"Emp not found")</v>
      </c>
      <c r="F9" s="12"/>
      <c r="G9" s="12"/>
      <c r="H9" s="12"/>
      <c r="I9" s="12"/>
      <c r="J9" s="12"/>
    </row>
    <row r="10" spans="1:10" x14ac:dyDescent="0.35">
      <c r="A10" s="10">
        <v>8</v>
      </c>
      <c r="B10" s="10" t="str">
        <f t="shared" si="0"/>
        <v>Emp not found</v>
      </c>
      <c r="C10" s="10" t="str">
        <f t="shared" si="1"/>
        <v>Emp not found</v>
      </c>
      <c r="D10" s="10" t="str">
        <f t="shared" si="2"/>
        <v>Emp not found</v>
      </c>
      <c r="E10" s="12" t="str">
        <f t="shared" ca="1" si="3"/>
        <v>=IFERROR(VLOOKUP(A10,Main_Table1,7,FALSE),"Emp not found")</v>
      </c>
      <c r="F10" s="12"/>
      <c r="G10" s="12"/>
      <c r="H10" s="12"/>
      <c r="I10" s="12"/>
      <c r="J10" s="12"/>
    </row>
    <row r="11" spans="1:10" x14ac:dyDescent="0.35">
      <c r="A11" s="10">
        <v>21</v>
      </c>
      <c r="B11" s="10" t="str">
        <f t="shared" si="0"/>
        <v>Emp not found</v>
      </c>
      <c r="C11" s="10" t="str">
        <f t="shared" si="1"/>
        <v>Emp not found</v>
      </c>
      <c r="D11" s="10" t="str">
        <f t="shared" si="2"/>
        <v>Emp not found</v>
      </c>
      <c r="E11" s="12" t="str">
        <f t="shared" ca="1" si="3"/>
        <v>=IFERROR(VLOOKUP(A11,Main_Table1,7,FALSE),"Emp not found")</v>
      </c>
      <c r="F11" s="12"/>
      <c r="G11" s="12"/>
      <c r="H11" s="12"/>
      <c r="I11" s="12"/>
      <c r="J11" s="12"/>
    </row>
    <row r="12" spans="1:10" x14ac:dyDescent="0.35">
      <c r="A12" s="10">
        <v>13</v>
      </c>
      <c r="B12" s="10" t="str">
        <f t="shared" si="0"/>
        <v>Emp not found</v>
      </c>
      <c r="C12" s="10" t="str">
        <f t="shared" si="1"/>
        <v>Emp not found</v>
      </c>
      <c r="D12" s="10" t="str">
        <f t="shared" si="2"/>
        <v>Emp not found</v>
      </c>
      <c r="E12" s="12" t="str">
        <f t="shared" ca="1" si="3"/>
        <v>=IFERROR(VLOOKUP(A12,Main_Table1,7,FALSE),"Emp not found")</v>
      </c>
      <c r="F12" s="12"/>
      <c r="G12" s="12"/>
      <c r="H12" s="12"/>
      <c r="I12" s="12"/>
      <c r="J12" s="12"/>
    </row>
    <row r="13" spans="1:10" x14ac:dyDescent="0.35">
      <c r="A13" s="10">
        <v>18</v>
      </c>
      <c r="B13" s="10" t="str">
        <f t="shared" si="0"/>
        <v>Emp not found</v>
      </c>
      <c r="C13" s="10" t="str">
        <f t="shared" si="1"/>
        <v>Emp not found</v>
      </c>
      <c r="D13" s="10" t="str">
        <f t="shared" si="2"/>
        <v>Emp not found</v>
      </c>
      <c r="E13" s="12" t="str">
        <f t="shared" ca="1" si="3"/>
        <v>=IFERROR(VLOOKUP(A13,Main_Table1,7,FALSE),"Emp not found")</v>
      </c>
      <c r="F13" s="12"/>
      <c r="G13" s="12"/>
      <c r="H13" s="12"/>
      <c r="I13" s="12"/>
      <c r="J13" s="12"/>
    </row>
    <row r="14" spans="1:10" x14ac:dyDescent="0.35">
      <c r="A14" s="10">
        <v>25</v>
      </c>
      <c r="B14" s="10" t="str">
        <f t="shared" si="0"/>
        <v>Emp not found</v>
      </c>
      <c r="C14" s="10" t="str">
        <f t="shared" si="1"/>
        <v>Emp not found</v>
      </c>
      <c r="D14" s="10" t="str">
        <f t="shared" si="2"/>
        <v>Emp not found</v>
      </c>
      <c r="E14" s="12" t="str">
        <f t="shared" ca="1" si="3"/>
        <v>=IFERROR(VLOOKUP(A14,Main_Table1,7,FALSE),"Emp not found")</v>
      </c>
      <c r="F14" s="12"/>
      <c r="G14" s="12"/>
      <c r="H14" s="12"/>
      <c r="I14" s="12"/>
      <c r="J14" s="12"/>
    </row>
    <row r="15" spans="1:10" x14ac:dyDescent="0.35">
      <c r="A15" s="10">
        <v>10</v>
      </c>
      <c r="B15" s="10" t="str">
        <f t="shared" si="0"/>
        <v>Emp not found</v>
      </c>
      <c r="C15" s="10" t="str">
        <f t="shared" si="1"/>
        <v>Emp not found</v>
      </c>
      <c r="D15" s="10" t="str">
        <f t="shared" si="2"/>
        <v>Emp not found</v>
      </c>
      <c r="E15" s="12" t="str">
        <f t="shared" ca="1" si="3"/>
        <v>=IFERROR(VLOOKUP(A15,Main_Table1,7,FALSE),"Emp not found")</v>
      </c>
      <c r="F15" s="12"/>
      <c r="G15" s="12"/>
      <c r="H15" s="12"/>
      <c r="I15" s="12"/>
      <c r="J15" s="12"/>
    </row>
    <row r="16" spans="1:10" x14ac:dyDescent="0.35">
      <c r="A16" s="10">
        <v>7</v>
      </c>
      <c r="B16" s="10" t="str">
        <f t="shared" si="0"/>
        <v>Emp not found</v>
      </c>
      <c r="C16" s="10" t="str">
        <f t="shared" si="1"/>
        <v>Emp not found</v>
      </c>
      <c r="D16" s="10" t="str">
        <f t="shared" si="2"/>
        <v>Emp not found</v>
      </c>
      <c r="E16" s="12" t="str">
        <f t="shared" ca="1" si="3"/>
        <v>=IFERROR(VLOOKUP(A16,Main_Table1,7,FALSE),"Emp not found")</v>
      </c>
      <c r="F16" s="12"/>
      <c r="G16" s="12"/>
      <c r="H16" s="12"/>
      <c r="I16" s="12"/>
      <c r="J16" s="12"/>
    </row>
    <row r="17" spans="1:10" x14ac:dyDescent="0.35">
      <c r="A17" s="10">
        <v>3</v>
      </c>
      <c r="B17" s="10" t="str">
        <f t="shared" si="0"/>
        <v>Emp not found</v>
      </c>
      <c r="C17" s="10" t="str">
        <f t="shared" si="1"/>
        <v>Emp not found</v>
      </c>
      <c r="D17" s="10" t="str">
        <f t="shared" si="2"/>
        <v>Emp not found</v>
      </c>
      <c r="E17" s="12" t="str">
        <f t="shared" ca="1" si="3"/>
        <v>=IFERROR(VLOOKUP(A17,Main_Table1,7,FALSE),"Emp not found")</v>
      </c>
      <c r="F17" s="12"/>
      <c r="G17" s="12"/>
      <c r="H17" s="12"/>
      <c r="I17" s="12"/>
      <c r="J17" s="12"/>
    </row>
    <row r="18" spans="1:10" x14ac:dyDescent="0.35">
      <c r="A18" s="10">
        <v>5</v>
      </c>
      <c r="B18" s="10" t="str">
        <f t="shared" si="0"/>
        <v>Emp not found</v>
      </c>
      <c r="C18" s="10" t="str">
        <f t="shared" si="1"/>
        <v>Emp not found</v>
      </c>
      <c r="D18" s="10" t="str">
        <f t="shared" si="2"/>
        <v>Emp not found</v>
      </c>
      <c r="E18" s="12" t="str">
        <f t="shared" ca="1" si="3"/>
        <v>=IFERROR(VLOOKUP(A18,Main_Table1,7,FALSE),"Emp not found")</v>
      </c>
      <c r="F18" s="12"/>
      <c r="G18" s="12"/>
      <c r="H18" s="12"/>
      <c r="I18" s="12"/>
      <c r="J18" s="12"/>
    </row>
  </sheetData>
  <mergeCells count="18">
    <mergeCell ref="E6:J6"/>
    <mergeCell ref="E1:J1"/>
    <mergeCell ref="E2:J2"/>
    <mergeCell ref="E3:J3"/>
    <mergeCell ref="E4:J4"/>
    <mergeCell ref="E5:J5"/>
    <mergeCell ref="E18:J18"/>
    <mergeCell ref="E7:J7"/>
    <mergeCell ref="E8:J8"/>
    <mergeCell ref="E9:J9"/>
    <mergeCell ref="E10:J10"/>
    <mergeCell ref="E11:J11"/>
    <mergeCell ref="E12:J12"/>
    <mergeCell ref="E13:J13"/>
    <mergeCell ref="E14:J14"/>
    <mergeCell ref="E15:J15"/>
    <mergeCell ref="E16:J16"/>
    <mergeCell ref="E17:J1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D78A-97A1-4430-AD58-AA097C5297C1}">
  <sheetPr codeName="Sheet5"/>
  <dimension ref="A1:U16"/>
  <sheetViews>
    <sheetView topLeftCell="A2" zoomScale="130" zoomScaleNormal="130" workbookViewId="0">
      <selection activeCell="B16" sqref="B16:H16"/>
    </sheetView>
  </sheetViews>
  <sheetFormatPr defaultColWidth="16.90625" defaultRowHeight="14.5" x14ac:dyDescent="0.35"/>
  <cols>
    <col min="2" max="2" width="12.453125" customWidth="1"/>
    <col min="3" max="3" width="11.7265625" customWidth="1"/>
    <col min="4" max="4" width="13.453125" customWidth="1"/>
    <col min="5" max="5" width="12.453125" customWidth="1"/>
    <col min="6" max="6" width="12.6328125" customWidth="1"/>
    <col min="7" max="7" width="13.7265625" customWidth="1"/>
    <col min="8" max="8" width="13.54296875" customWidth="1"/>
    <col min="9" max="9" width="12.81640625" customWidth="1"/>
    <col min="17" max="21" width="14" customWidth="1"/>
  </cols>
  <sheetData>
    <row r="1" spans="1:21" x14ac:dyDescent="0.3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30</v>
      </c>
    </row>
    <row r="2" spans="1:21" x14ac:dyDescent="0.35">
      <c r="A2" s="1" t="s">
        <v>1</v>
      </c>
      <c r="B2" s="3" t="s">
        <v>6</v>
      </c>
      <c r="C2" s="3" t="s">
        <v>10</v>
      </c>
      <c r="D2" s="3" t="s">
        <v>14</v>
      </c>
      <c r="E2" s="3" t="s">
        <v>18</v>
      </c>
      <c r="F2" s="3" t="s">
        <v>22</v>
      </c>
      <c r="G2" s="3" t="s">
        <v>24</v>
      </c>
      <c r="H2" s="3" t="s">
        <v>27</v>
      </c>
      <c r="I2" s="3" t="s">
        <v>30</v>
      </c>
      <c r="J2" s="3" t="s">
        <v>32</v>
      </c>
      <c r="K2" s="3" t="s">
        <v>35</v>
      </c>
      <c r="L2" s="3" t="s">
        <v>38</v>
      </c>
      <c r="M2" s="3" t="s">
        <v>41</v>
      </c>
      <c r="N2" s="3" t="s">
        <v>44</v>
      </c>
      <c r="O2" s="3" t="s">
        <v>46</v>
      </c>
      <c r="P2" s="3" t="s">
        <v>47</v>
      </c>
      <c r="Q2" s="3" t="s">
        <v>49</v>
      </c>
      <c r="R2" s="3" t="s">
        <v>50</v>
      </c>
      <c r="S2" s="3" t="s">
        <v>53</v>
      </c>
      <c r="T2" s="3" t="s">
        <v>55</v>
      </c>
      <c r="U2" s="3" t="s">
        <v>58</v>
      </c>
    </row>
    <row r="3" spans="1:21" x14ac:dyDescent="0.35">
      <c r="A3" s="1" t="s">
        <v>2</v>
      </c>
      <c r="B3" s="3" t="s">
        <v>7</v>
      </c>
      <c r="C3" s="3" t="s">
        <v>11</v>
      </c>
      <c r="D3" s="3" t="s">
        <v>15</v>
      </c>
      <c r="E3" s="3" t="s">
        <v>19</v>
      </c>
      <c r="F3" s="3" t="s">
        <v>23</v>
      </c>
      <c r="G3" s="3" t="s">
        <v>25</v>
      </c>
      <c r="H3" s="3" t="s">
        <v>28</v>
      </c>
      <c r="I3" s="3" t="s">
        <v>31</v>
      </c>
      <c r="J3" s="3" t="s">
        <v>33</v>
      </c>
      <c r="K3" s="3" t="s">
        <v>36</v>
      </c>
      <c r="L3" s="3" t="s">
        <v>39</v>
      </c>
      <c r="M3" s="3" t="s">
        <v>42</v>
      </c>
      <c r="N3" s="3" t="s">
        <v>11</v>
      </c>
      <c r="O3" s="3" t="s">
        <v>15</v>
      </c>
      <c r="P3" s="3" t="s">
        <v>48</v>
      </c>
      <c r="Q3" s="3" t="s">
        <v>31</v>
      </c>
      <c r="R3" s="3" t="s">
        <v>51</v>
      </c>
      <c r="S3" s="3" t="s">
        <v>54</v>
      </c>
      <c r="T3" s="3" t="s">
        <v>56</v>
      </c>
      <c r="U3" s="3" t="s">
        <v>59</v>
      </c>
    </row>
    <row r="4" spans="1:21" x14ac:dyDescent="0.35">
      <c r="A4" s="1" t="s">
        <v>3</v>
      </c>
      <c r="B4" s="3" t="s">
        <v>8</v>
      </c>
      <c r="C4" s="3" t="s">
        <v>12</v>
      </c>
      <c r="D4" s="3" t="s">
        <v>16</v>
      </c>
      <c r="E4" s="3" t="s">
        <v>20</v>
      </c>
      <c r="F4" s="3" t="s">
        <v>12</v>
      </c>
      <c r="G4" s="3" t="s">
        <v>26</v>
      </c>
      <c r="H4" s="3" t="s">
        <v>29</v>
      </c>
      <c r="I4" s="3" t="s">
        <v>29</v>
      </c>
      <c r="J4" s="3" t="s">
        <v>34</v>
      </c>
      <c r="K4" s="3" t="s">
        <v>37</v>
      </c>
      <c r="L4" s="3" t="s">
        <v>40</v>
      </c>
      <c r="M4" s="3" t="s">
        <v>43</v>
      </c>
      <c r="N4" s="3" t="s">
        <v>45</v>
      </c>
      <c r="O4" s="3" t="s">
        <v>43</v>
      </c>
      <c r="P4" s="3" t="s">
        <v>12</v>
      </c>
      <c r="Q4" s="3" t="s">
        <v>43</v>
      </c>
      <c r="R4" s="3" t="s">
        <v>8</v>
      </c>
      <c r="S4" s="3" t="s">
        <v>8</v>
      </c>
      <c r="T4" s="3" t="s">
        <v>57</v>
      </c>
      <c r="U4" s="3" t="s">
        <v>16</v>
      </c>
    </row>
    <row r="5" spans="1:21" x14ac:dyDescent="0.35">
      <c r="A5" s="1" t="s">
        <v>4</v>
      </c>
      <c r="B5" s="3" t="s">
        <v>9</v>
      </c>
      <c r="C5" s="4" t="s">
        <v>13</v>
      </c>
      <c r="D5" s="3" t="s">
        <v>17</v>
      </c>
      <c r="E5" s="6" t="s">
        <v>21</v>
      </c>
      <c r="F5" s="3" t="s">
        <v>9</v>
      </c>
      <c r="G5" s="3" t="s">
        <v>13</v>
      </c>
      <c r="H5" s="3" t="s">
        <v>17</v>
      </c>
      <c r="I5" s="3" t="s">
        <v>21</v>
      </c>
      <c r="J5" s="3" t="s">
        <v>9</v>
      </c>
      <c r="K5" s="3" t="s">
        <v>13</v>
      </c>
      <c r="L5" s="3" t="s">
        <v>17</v>
      </c>
      <c r="M5" s="3" t="s">
        <v>21</v>
      </c>
      <c r="N5" s="3" t="s">
        <v>9</v>
      </c>
      <c r="O5" s="3" t="s">
        <v>13</v>
      </c>
      <c r="P5" s="3" t="s">
        <v>17</v>
      </c>
      <c r="Q5" s="3" t="s">
        <v>21</v>
      </c>
      <c r="R5" s="3" t="s">
        <v>52</v>
      </c>
      <c r="S5" s="3" t="s">
        <v>21</v>
      </c>
      <c r="T5" s="3" t="s">
        <v>52</v>
      </c>
      <c r="U5" s="3" t="s">
        <v>9</v>
      </c>
    </row>
    <row r="6" spans="1:21" x14ac:dyDescent="0.35">
      <c r="A6" s="1" t="s">
        <v>5</v>
      </c>
      <c r="B6" s="3">
        <v>35000</v>
      </c>
      <c r="C6" s="3">
        <v>12888</v>
      </c>
      <c r="D6" s="5">
        <v>11250</v>
      </c>
      <c r="E6" s="3">
        <v>8700</v>
      </c>
      <c r="F6" s="3">
        <v>16250</v>
      </c>
      <c r="G6" s="3">
        <v>15000</v>
      </c>
      <c r="H6" s="3">
        <v>4500</v>
      </c>
      <c r="I6" s="3">
        <v>6275</v>
      </c>
      <c r="J6" s="3">
        <v>6250</v>
      </c>
      <c r="K6" s="3">
        <v>8750</v>
      </c>
      <c r="L6" s="3">
        <v>11250</v>
      </c>
      <c r="M6" s="3">
        <v>10000</v>
      </c>
      <c r="N6" s="3">
        <v>16250</v>
      </c>
      <c r="O6" s="3">
        <v>6400</v>
      </c>
      <c r="P6" s="3">
        <v>4500</v>
      </c>
      <c r="Q6" s="3">
        <v>6275</v>
      </c>
      <c r="R6" s="3">
        <v>6250</v>
      </c>
      <c r="S6" s="3">
        <v>8750</v>
      </c>
      <c r="T6" s="3">
        <v>25000</v>
      </c>
      <c r="U6" s="3">
        <v>10000</v>
      </c>
    </row>
    <row r="13" spans="1:21" x14ac:dyDescent="0.35">
      <c r="A13" s="1" t="s">
        <v>0</v>
      </c>
      <c r="B13" s="3">
        <v>2</v>
      </c>
      <c r="C13" s="3">
        <v>4</v>
      </c>
      <c r="D13" s="3">
        <v>66</v>
      </c>
      <c r="E13" s="3">
        <v>8</v>
      </c>
      <c r="F13" s="3">
        <v>10</v>
      </c>
      <c r="G13" s="3">
        <v>13</v>
      </c>
      <c r="H13" s="3">
        <v>15</v>
      </c>
    </row>
    <row r="14" spans="1:21" x14ac:dyDescent="0.35">
      <c r="A14" s="1" t="s">
        <v>1</v>
      </c>
      <c r="B14" s="3" t="str">
        <f>IFERROR(HLOOKUP(B13,$A$1:$U$6,2,FALSE),"Emp not found")</f>
        <v>Anjali Thakur</v>
      </c>
      <c r="C14" s="3" t="str">
        <f t="shared" ref="C14:H14" si="0">IFERROR(HLOOKUP(C13,$A$1:$U$6,2,FALSE),"Emp not found")</f>
        <v>R Vasu</v>
      </c>
      <c r="D14" s="3" t="str">
        <f t="shared" si="0"/>
        <v>Emp not found</v>
      </c>
      <c r="E14" s="3" t="str">
        <f t="shared" si="0"/>
        <v>Manisha Guha</v>
      </c>
      <c r="F14" s="3" t="str">
        <f t="shared" si="0"/>
        <v>Arjun Kapoor</v>
      </c>
      <c r="G14" s="3" t="str">
        <f t="shared" si="0"/>
        <v>Anupam Mishra</v>
      </c>
      <c r="H14" s="3" t="str">
        <f t="shared" si="0"/>
        <v>Prateek Babbar</v>
      </c>
    </row>
    <row r="15" spans="1:21" x14ac:dyDescent="0.35">
      <c r="A15" s="1" t="s">
        <v>4</v>
      </c>
      <c r="B15" s="3" t="str">
        <f>IFERROR(HLOOKUP(B13,$A$1:$U$6,5,FALSE),"Emp not found")</f>
        <v>Accounts</v>
      </c>
      <c r="C15" s="3" t="str">
        <f t="shared" ref="C15:H15" si="1">IFERROR(HLOOKUP(C13,$A$1:$U$6,5,FALSE),"Emp not found")</f>
        <v>R&amp;D</v>
      </c>
      <c r="D15" s="3" t="str">
        <f t="shared" si="1"/>
        <v>Emp not found</v>
      </c>
      <c r="E15" s="3" t="str">
        <f t="shared" si="1"/>
        <v>R&amp;D</v>
      </c>
      <c r="F15" s="3" t="str">
        <f t="shared" si="1"/>
        <v>Accounts</v>
      </c>
      <c r="G15" s="3" t="str">
        <f t="shared" si="1"/>
        <v>Training</v>
      </c>
      <c r="H15" s="3" t="str">
        <f t="shared" si="1"/>
        <v>Marketing</v>
      </c>
    </row>
    <row r="16" spans="1:21" x14ac:dyDescent="0.35">
      <c r="A16" s="1" t="s">
        <v>5</v>
      </c>
      <c r="B16" s="3">
        <f>IFERROR(HLOOKUP(B13,$A$1:$U$6,6,FALSE),"Emp not found")</f>
        <v>12888</v>
      </c>
      <c r="C16" s="3">
        <f t="shared" ref="C16:H16" si="2">IFERROR(HLOOKUP(C13,$A$1:$U$6,6,FALSE),"Emp not found")</f>
        <v>8700</v>
      </c>
      <c r="D16" s="3" t="str">
        <f t="shared" si="2"/>
        <v>Emp not found</v>
      </c>
      <c r="E16" s="3">
        <f t="shared" si="2"/>
        <v>6275</v>
      </c>
      <c r="F16" s="3">
        <f t="shared" si="2"/>
        <v>8750</v>
      </c>
      <c r="G16" s="3">
        <f t="shared" si="2"/>
        <v>16250</v>
      </c>
      <c r="H16" s="3">
        <f t="shared" si="2"/>
        <v>4500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FFEC-F01F-4DDD-9821-A22E3CCDAB82}">
  <sheetPr codeName="Sheet4"/>
  <dimension ref="A1:L22"/>
  <sheetViews>
    <sheetView zoomScale="120" zoomScaleNormal="120" workbookViewId="0">
      <selection activeCell="K9" sqref="K9"/>
    </sheetView>
  </sheetViews>
  <sheetFormatPr defaultRowHeight="14.5" x14ac:dyDescent="0.35"/>
  <cols>
    <col min="1" max="1" width="9.54296875" bestFit="1" customWidth="1"/>
    <col min="2" max="2" width="14.90625" bestFit="1" customWidth="1"/>
    <col min="3" max="3" width="11" bestFit="1" customWidth="1"/>
    <col min="4" max="4" width="10.36328125" bestFit="1" customWidth="1"/>
    <col min="5" max="5" width="11.1796875" bestFit="1" customWidth="1"/>
    <col min="6" max="6" width="6" bestFit="1" customWidth="1"/>
    <col min="8" max="8" width="9.08984375" customWidth="1"/>
    <col min="9" max="9" width="23.54296875" customWidth="1"/>
    <col min="10" max="10" width="17.453125" customWidth="1"/>
    <col min="11" max="11" width="11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63</v>
      </c>
      <c r="H1" s="3" t="str">
        <f ca="1">_xlfn.FORMULATEXT(I5)</f>
        <v>=XLOOKUP(H5,$A$1:$A$21,$B$1:$B$21,"Employee not found",0)</v>
      </c>
      <c r="I1" s="3"/>
      <c r="J1" s="3"/>
      <c r="K1" s="3"/>
    </row>
    <row r="2" spans="1:12" x14ac:dyDescent="0.3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>
        <v>35000</v>
      </c>
      <c r="G2" s="15"/>
      <c r="H2" s="3" t="str">
        <f ca="1">_xlfn.FORMULATEXT(J5)</f>
        <v>=XLOOKUP(H5,$A$1:$A$21,$D$1:$D$21,"not found",0)</v>
      </c>
      <c r="I2" s="3"/>
      <c r="J2" s="3"/>
      <c r="K2" s="3"/>
    </row>
    <row r="3" spans="1:12" x14ac:dyDescent="0.35">
      <c r="A3" s="2">
        <v>2</v>
      </c>
      <c r="B3" s="3" t="s">
        <v>10</v>
      </c>
      <c r="C3" s="3" t="s">
        <v>11</v>
      </c>
      <c r="D3" s="3" t="s">
        <v>12</v>
      </c>
      <c r="E3" s="4" t="s">
        <v>13</v>
      </c>
      <c r="F3" s="3">
        <v>12888</v>
      </c>
    </row>
    <row r="4" spans="1:12" x14ac:dyDescent="0.35">
      <c r="A4" s="2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5">
        <v>11250</v>
      </c>
      <c r="H4" s="1" t="s">
        <v>0</v>
      </c>
      <c r="I4" s="1" t="s">
        <v>1</v>
      </c>
      <c r="J4" s="1" t="s">
        <v>3</v>
      </c>
      <c r="K4" s="8"/>
      <c r="L4" s="8"/>
    </row>
    <row r="5" spans="1:12" x14ac:dyDescent="0.35">
      <c r="A5" s="2">
        <v>4</v>
      </c>
      <c r="B5" s="3" t="s">
        <v>18</v>
      </c>
      <c r="C5" s="3" t="s">
        <v>19</v>
      </c>
      <c r="D5" s="3" t="s">
        <v>20</v>
      </c>
      <c r="E5" s="6" t="s">
        <v>21</v>
      </c>
      <c r="F5" s="3">
        <v>8700</v>
      </c>
      <c r="H5" s="3">
        <v>1</v>
      </c>
      <c r="I5" s="3" t="str">
        <f>_xlfn.XLOOKUP(H5,$A$1:$A$21,$B$1:$B$21,"Employee not found",0)</f>
        <v>JP Kumar</v>
      </c>
      <c r="J5" s="3" t="str">
        <f>_xlfn.XLOOKUP(H5,$A$1:$A$21,$D$1:$D$21,"not found",0)</f>
        <v>Mumbai</v>
      </c>
    </row>
    <row r="6" spans="1:12" x14ac:dyDescent="0.35">
      <c r="A6" s="2">
        <v>5</v>
      </c>
      <c r="B6" s="3" t="s">
        <v>22</v>
      </c>
      <c r="C6" s="3" t="s">
        <v>23</v>
      </c>
      <c r="D6" s="3" t="s">
        <v>12</v>
      </c>
      <c r="E6" s="3" t="s">
        <v>9</v>
      </c>
      <c r="F6" s="3">
        <v>16250</v>
      </c>
      <c r="H6" s="3">
        <v>5</v>
      </c>
      <c r="I6" s="3" t="str">
        <f t="shared" ref="I6:I11" si="0">_xlfn.XLOOKUP(H6,$A$1:$A$21,$B$1:$B$21,"Employee not found",0)</f>
        <v>Sanjay Gupta</v>
      </c>
      <c r="J6" s="3" t="str">
        <f t="shared" ref="J6:J11" si="1">_xlfn.XLOOKUP(H6,$A$1:$A$21,$D$1:$D$21,"not found",0)</f>
        <v>Delhi</v>
      </c>
    </row>
    <row r="7" spans="1:12" x14ac:dyDescent="0.35">
      <c r="A7" s="2">
        <v>6</v>
      </c>
      <c r="B7" s="3" t="s">
        <v>24</v>
      </c>
      <c r="C7" s="3" t="s">
        <v>25</v>
      </c>
      <c r="D7" s="3" t="s">
        <v>26</v>
      </c>
      <c r="E7" s="3" t="s">
        <v>13</v>
      </c>
      <c r="F7" s="3">
        <v>15000</v>
      </c>
      <c r="H7" s="3">
        <v>8</v>
      </c>
      <c r="I7" s="3" t="str">
        <f t="shared" si="0"/>
        <v>Manisha Guha</v>
      </c>
      <c r="J7" s="3" t="str">
        <f t="shared" si="1"/>
        <v>Kolkata</v>
      </c>
    </row>
    <row r="8" spans="1:12" x14ac:dyDescent="0.35">
      <c r="A8" s="2">
        <v>7</v>
      </c>
      <c r="B8" s="3" t="s">
        <v>27</v>
      </c>
      <c r="C8" s="3" t="s">
        <v>28</v>
      </c>
      <c r="D8" s="3" t="s">
        <v>29</v>
      </c>
      <c r="E8" s="3" t="s">
        <v>17</v>
      </c>
      <c r="F8" s="3">
        <v>4500</v>
      </c>
      <c r="H8" s="3">
        <v>12</v>
      </c>
      <c r="I8" s="3" t="str">
        <f t="shared" si="0"/>
        <v>Shahid Khan</v>
      </c>
      <c r="J8" s="3" t="str">
        <f t="shared" si="1"/>
        <v>Mangalore</v>
      </c>
    </row>
    <row r="9" spans="1:12" x14ac:dyDescent="0.35">
      <c r="A9" s="2">
        <v>8</v>
      </c>
      <c r="B9" s="3" t="s">
        <v>30</v>
      </c>
      <c r="C9" s="3" t="s">
        <v>31</v>
      </c>
      <c r="D9" s="3" t="s">
        <v>29</v>
      </c>
      <c r="E9" s="3" t="s">
        <v>21</v>
      </c>
      <c r="F9" s="3">
        <v>6275</v>
      </c>
      <c r="H9" s="3">
        <v>22</v>
      </c>
      <c r="I9" s="3" t="str">
        <f t="shared" si="0"/>
        <v>Employee not found</v>
      </c>
      <c r="J9" s="3" t="str">
        <f t="shared" si="1"/>
        <v>not found</v>
      </c>
    </row>
    <row r="10" spans="1:12" x14ac:dyDescent="0.35">
      <c r="A10" s="2">
        <v>9</v>
      </c>
      <c r="B10" s="3" t="s">
        <v>32</v>
      </c>
      <c r="C10" s="3" t="s">
        <v>33</v>
      </c>
      <c r="D10" s="3" t="s">
        <v>34</v>
      </c>
      <c r="E10" s="3" t="s">
        <v>9</v>
      </c>
      <c r="F10" s="3">
        <v>6250</v>
      </c>
      <c r="H10" s="3">
        <v>38</v>
      </c>
      <c r="I10" s="3" t="str">
        <f t="shared" si="0"/>
        <v>Employee not found</v>
      </c>
      <c r="J10" s="3" t="str">
        <f t="shared" si="1"/>
        <v>not found</v>
      </c>
    </row>
    <row r="11" spans="1:12" x14ac:dyDescent="0.35">
      <c r="A11" s="2">
        <v>10</v>
      </c>
      <c r="B11" s="3" t="s">
        <v>35</v>
      </c>
      <c r="C11" s="3" t="s">
        <v>36</v>
      </c>
      <c r="D11" s="3" t="s">
        <v>37</v>
      </c>
      <c r="E11" s="3" t="s">
        <v>13</v>
      </c>
      <c r="F11" s="3">
        <v>8750</v>
      </c>
      <c r="H11" s="3">
        <v>3</v>
      </c>
      <c r="I11" s="3" t="str">
        <f t="shared" si="0"/>
        <v>Priya Agarwal</v>
      </c>
      <c r="J11" s="3" t="str">
        <f t="shared" si="1"/>
        <v>Noida</v>
      </c>
    </row>
    <row r="12" spans="1:12" x14ac:dyDescent="0.35">
      <c r="A12" s="2">
        <v>11</v>
      </c>
      <c r="B12" s="3" t="s">
        <v>38</v>
      </c>
      <c r="C12" s="3" t="s">
        <v>39</v>
      </c>
      <c r="D12" s="3" t="s">
        <v>40</v>
      </c>
      <c r="E12" s="3" t="s">
        <v>17</v>
      </c>
      <c r="F12" s="3">
        <v>11250</v>
      </c>
    </row>
    <row r="13" spans="1:12" x14ac:dyDescent="0.35">
      <c r="A13" s="2">
        <v>12</v>
      </c>
      <c r="B13" s="3" t="s">
        <v>41</v>
      </c>
      <c r="C13" s="3" t="s">
        <v>42</v>
      </c>
      <c r="D13" s="3" t="s">
        <v>43</v>
      </c>
      <c r="E13" s="3" t="s">
        <v>21</v>
      </c>
      <c r="F13" s="3">
        <v>10000</v>
      </c>
    </row>
    <row r="14" spans="1:12" x14ac:dyDescent="0.35">
      <c r="A14" s="2">
        <v>13</v>
      </c>
      <c r="B14" s="3" t="s">
        <v>44</v>
      </c>
      <c r="C14" s="3" t="s">
        <v>11</v>
      </c>
      <c r="D14" s="3" t="s">
        <v>45</v>
      </c>
      <c r="E14" s="3" t="s">
        <v>9</v>
      </c>
      <c r="F14" s="3">
        <v>16250</v>
      </c>
    </row>
    <row r="15" spans="1:12" x14ac:dyDescent="0.35">
      <c r="A15" s="2">
        <v>14</v>
      </c>
      <c r="B15" s="3" t="s">
        <v>46</v>
      </c>
      <c r="C15" s="3" t="s">
        <v>15</v>
      </c>
      <c r="D15" s="3" t="s">
        <v>43</v>
      </c>
      <c r="E15" s="3" t="s">
        <v>13</v>
      </c>
      <c r="F15" s="3">
        <v>6400</v>
      </c>
    </row>
    <row r="16" spans="1:12" x14ac:dyDescent="0.35">
      <c r="A16" s="2">
        <v>15</v>
      </c>
      <c r="B16" s="3" t="s">
        <v>14</v>
      </c>
      <c r="C16" s="3" t="s">
        <v>48</v>
      </c>
      <c r="D16" s="3" t="s">
        <v>45</v>
      </c>
      <c r="E16" s="3" t="s">
        <v>17</v>
      </c>
      <c r="F16" s="3">
        <v>4500</v>
      </c>
    </row>
    <row r="17" spans="1:6" x14ac:dyDescent="0.35">
      <c r="A17" s="2">
        <v>16</v>
      </c>
      <c r="B17" s="3" t="s">
        <v>49</v>
      </c>
      <c r="C17" s="3" t="s">
        <v>31</v>
      </c>
      <c r="D17" s="3" t="s">
        <v>43</v>
      </c>
      <c r="E17" s="3" t="s">
        <v>21</v>
      </c>
      <c r="F17" s="3">
        <v>6275</v>
      </c>
    </row>
    <row r="18" spans="1:6" x14ac:dyDescent="0.35">
      <c r="A18" s="2">
        <v>17</v>
      </c>
      <c r="B18" s="3" t="s">
        <v>50</v>
      </c>
      <c r="C18" s="3" t="s">
        <v>51</v>
      </c>
      <c r="D18" s="3" t="s">
        <v>8</v>
      </c>
      <c r="E18" s="3" t="s">
        <v>52</v>
      </c>
      <c r="F18" s="3">
        <v>6250</v>
      </c>
    </row>
    <row r="19" spans="1:6" x14ac:dyDescent="0.35">
      <c r="A19" s="2">
        <v>18</v>
      </c>
      <c r="B19" s="3" t="s">
        <v>53</v>
      </c>
      <c r="C19" s="3" t="s">
        <v>54</v>
      </c>
      <c r="D19" s="3" t="s">
        <v>8</v>
      </c>
      <c r="E19" s="3" t="s">
        <v>21</v>
      </c>
      <c r="F19" s="3">
        <v>8750</v>
      </c>
    </row>
    <row r="20" spans="1:6" x14ac:dyDescent="0.35">
      <c r="A20" s="2">
        <v>19</v>
      </c>
      <c r="B20" s="3" t="s">
        <v>55</v>
      </c>
      <c r="C20" s="3" t="s">
        <v>56</v>
      </c>
      <c r="D20" s="3" t="s">
        <v>57</v>
      </c>
      <c r="E20" s="3" t="s">
        <v>52</v>
      </c>
      <c r="F20" s="3">
        <v>25000</v>
      </c>
    </row>
    <row r="21" spans="1:6" x14ac:dyDescent="0.35">
      <c r="A21" s="2">
        <v>30</v>
      </c>
      <c r="B21" s="3" t="s">
        <v>58</v>
      </c>
      <c r="C21" s="3" t="s">
        <v>59</v>
      </c>
      <c r="D21" s="3" t="s">
        <v>16</v>
      </c>
      <c r="E21" s="3" t="s">
        <v>9</v>
      </c>
      <c r="F21" s="3">
        <v>10000</v>
      </c>
    </row>
    <row r="22" spans="1:6" x14ac:dyDescent="0.35">
      <c r="A22" s="7"/>
    </row>
  </sheetData>
  <mergeCells count="1">
    <mergeCell ref="G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91DC-8EA5-4FD9-BADA-A2CFF2988937}">
  <dimension ref="A1:F14"/>
  <sheetViews>
    <sheetView workbookViewId="0">
      <selection activeCell="H7" sqref="H7"/>
    </sheetView>
  </sheetViews>
  <sheetFormatPr defaultRowHeight="14.5" x14ac:dyDescent="0.35"/>
  <cols>
    <col min="2" max="2" width="14.7265625" customWidth="1"/>
    <col min="5" max="5" width="11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>
        <v>35000</v>
      </c>
    </row>
    <row r="3" spans="1:6" x14ac:dyDescent="0.35">
      <c r="A3" s="2">
        <v>2</v>
      </c>
      <c r="B3" s="3" t="s">
        <v>10</v>
      </c>
      <c r="C3" s="3" t="s">
        <v>11</v>
      </c>
      <c r="D3" s="3" t="s">
        <v>12</v>
      </c>
      <c r="E3" s="4" t="s">
        <v>13</v>
      </c>
      <c r="F3" s="3">
        <v>12888</v>
      </c>
    </row>
    <row r="4" spans="1:6" x14ac:dyDescent="0.35">
      <c r="A4" s="2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5">
        <v>11250</v>
      </c>
    </row>
    <row r="5" spans="1:6" x14ac:dyDescent="0.35">
      <c r="A5" s="2">
        <v>4</v>
      </c>
      <c r="B5" s="3" t="s">
        <v>18</v>
      </c>
      <c r="C5" s="3" t="s">
        <v>19</v>
      </c>
      <c r="D5" s="3" t="s">
        <v>20</v>
      </c>
      <c r="E5" s="6" t="s">
        <v>21</v>
      </c>
      <c r="F5" s="3">
        <v>8700</v>
      </c>
    </row>
    <row r="6" spans="1:6" x14ac:dyDescent="0.35">
      <c r="A6" s="2">
        <v>5</v>
      </c>
      <c r="B6" s="3" t="s">
        <v>22</v>
      </c>
      <c r="C6" s="3" t="s">
        <v>23</v>
      </c>
      <c r="D6" s="3" t="s">
        <v>12</v>
      </c>
      <c r="E6" s="3" t="s">
        <v>9</v>
      </c>
      <c r="F6" s="3">
        <v>16250</v>
      </c>
    </row>
    <row r="11" spans="1:6" x14ac:dyDescent="0.35">
      <c r="A11">
        <v>1</v>
      </c>
      <c r="B11" t="s">
        <v>61</v>
      </c>
    </row>
    <row r="12" spans="1:6" x14ac:dyDescent="0.35">
      <c r="B12" s="3" t="str">
        <f>VLOOKUP(INDEX(A2:A6,3),A1:F6,5,FALSE)</f>
        <v>Marketing</v>
      </c>
      <c r="C12" s="12" t="str">
        <f ca="1">_xlfn.FORMULATEXT(B12)</f>
        <v>=VLOOKUP(INDEX(A2:A6,3),A1:F6,5,FALSE)</v>
      </c>
      <c r="D12" s="12"/>
      <c r="E12" s="12"/>
      <c r="F12" s="12"/>
    </row>
    <row r="13" spans="1:6" x14ac:dyDescent="0.35">
      <c r="A13">
        <v>2</v>
      </c>
      <c r="B13" s="16" t="s">
        <v>64</v>
      </c>
      <c r="C13" s="16"/>
    </row>
    <row r="14" spans="1:6" x14ac:dyDescent="0.35">
      <c r="B14" s="3" t="str">
        <f>VLOOKUP(INDEX(A2:A6,2),A1:F6,4,FALSE)</f>
        <v>Delhi</v>
      </c>
      <c r="C14" s="12" t="str">
        <f ca="1">_xlfn.FORMULATEXT(B14)</f>
        <v>=VLOOKUP(INDEX(A2:A6,2),A1:F6,4,FALSE)</v>
      </c>
      <c r="D14" s="12"/>
      <c r="E14" s="12"/>
      <c r="F14" s="12"/>
    </row>
  </sheetData>
  <mergeCells count="3">
    <mergeCell ref="C12:F12"/>
    <mergeCell ref="C14:F14"/>
    <mergeCell ref="B13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A860-0F5D-447B-AE6C-3CE2895A0F0A}">
  <dimension ref="A1:G15"/>
  <sheetViews>
    <sheetView workbookViewId="0">
      <selection activeCell="K10" sqref="K10"/>
    </sheetView>
  </sheetViews>
  <sheetFormatPr defaultRowHeight="14.5" x14ac:dyDescent="0.35"/>
  <cols>
    <col min="7" max="7" width="9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>
        <v>35000</v>
      </c>
    </row>
    <row r="3" spans="1:7" x14ac:dyDescent="0.35">
      <c r="A3" s="2">
        <v>2</v>
      </c>
      <c r="B3" s="3" t="s">
        <v>10</v>
      </c>
      <c r="C3" s="3" t="s">
        <v>11</v>
      </c>
      <c r="D3" s="3" t="s">
        <v>12</v>
      </c>
      <c r="E3" s="4" t="s">
        <v>13</v>
      </c>
      <c r="F3" s="3">
        <v>12888</v>
      </c>
    </row>
    <row r="4" spans="1:7" x14ac:dyDescent="0.35">
      <c r="A4" s="2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5">
        <v>11250</v>
      </c>
    </row>
    <row r="5" spans="1:7" x14ac:dyDescent="0.35">
      <c r="A5" s="2">
        <v>4</v>
      </c>
      <c r="B5" s="3" t="s">
        <v>18</v>
      </c>
      <c r="C5" s="3" t="s">
        <v>19</v>
      </c>
      <c r="D5" s="3" t="s">
        <v>20</v>
      </c>
      <c r="E5" s="6" t="s">
        <v>21</v>
      </c>
      <c r="F5" s="3">
        <v>8700</v>
      </c>
    </row>
    <row r="6" spans="1:7" x14ac:dyDescent="0.35">
      <c r="A6" s="2">
        <v>5</v>
      </c>
      <c r="B6" s="3" t="s">
        <v>22</v>
      </c>
      <c r="C6" s="3" t="s">
        <v>23</v>
      </c>
      <c r="D6" s="3" t="s">
        <v>12</v>
      </c>
      <c r="E6" s="3" t="s">
        <v>9</v>
      </c>
      <c r="F6" s="3">
        <v>16250</v>
      </c>
    </row>
    <row r="8" spans="1:7" x14ac:dyDescent="0.35">
      <c r="A8" s="11" t="s">
        <v>65</v>
      </c>
      <c r="B8" s="11"/>
      <c r="C8" s="11"/>
      <c r="D8" s="11"/>
      <c r="E8" s="11"/>
      <c r="F8" s="11"/>
      <c r="G8" s="11"/>
    </row>
    <row r="10" spans="1:7" x14ac:dyDescent="0.35">
      <c r="A10" s="3">
        <v>1</v>
      </c>
      <c r="B10" s="12" t="s">
        <v>62</v>
      </c>
      <c r="C10" s="12"/>
      <c r="D10" s="12"/>
    </row>
    <row r="11" spans="1:7" x14ac:dyDescent="0.35">
      <c r="A11" s="3"/>
      <c r="B11" s="3">
        <f>INDEX(F2:F6,MATCH("Anjali Thakur",B2:B6,0))</f>
        <v>12888</v>
      </c>
      <c r="C11" s="12" t="str">
        <f ca="1">_xlfn.FORMULATEXT(B11)</f>
        <v>=INDEX(F2:F6,MATCH("Anjali Thakur",B2:B6,0))</v>
      </c>
      <c r="D11" s="12"/>
      <c r="E11" s="12"/>
      <c r="F11" s="12"/>
      <c r="G11" s="12"/>
    </row>
    <row r="12" spans="1:7" x14ac:dyDescent="0.35">
      <c r="A12" s="3">
        <v>2</v>
      </c>
      <c r="B12" s="12" t="s">
        <v>66</v>
      </c>
      <c r="C12" s="17"/>
      <c r="D12" s="17"/>
    </row>
    <row r="13" spans="1:7" x14ac:dyDescent="0.35">
      <c r="A13" s="3"/>
      <c r="B13" s="3">
        <f>MATCH("Anjali Thakur",B2:B6,0)</f>
        <v>2</v>
      </c>
      <c r="C13" s="12" t="str">
        <f ca="1">_xlfn.FORMULATEXT(B13)</f>
        <v>=MATCH("Anjali Thakur",B2:B6,0)</v>
      </c>
      <c r="D13" s="12"/>
      <c r="E13" s="12"/>
      <c r="F13" s="12"/>
    </row>
    <row r="14" spans="1:7" x14ac:dyDescent="0.35">
      <c r="A14" s="3">
        <v>3</v>
      </c>
      <c r="B14" s="12" t="s">
        <v>67</v>
      </c>
      <c r="C14" s="17"/>
      <c r="D14" s="17"/>
    </row>
    <row r="15" spans="1:7" x14ac:dyDescent="0.35">
      <c r="A15" s="3"/>
      <c r="B15" s="3" t="str">
        <f>INDEX(C2:C6,MATCH("R Vasu",B2:B6,0))</f>
        <v>Egmore</v>
      </c>
      <c r="C15" s="12" t="str">
        <f ca="1">_xlfn.FORMULATEXT(B15)</f>
        <v>=INDEX(C2:C6,MATCH("R Vasu",B2:B6,0))</v>
      </c>
      <c r="D15" s="12"/>
      <c r="E15" s="12"/>
      <c r="F15" s="12"/>
    </row>
  </sheetData>
  <mergeCells count="7">
    <mergeCell ref="C15:F15"/>
    <mergeCell ref="A8:G8"/>
    <mergeCell ref="B10:D10"/>
    <mergeCell ref="C11:G11"/>
    <mergeCell ref="B12:D12"/>
    <mergeCell ref="C13:F13"/>
    <mergeCell ref="B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Output</vt:lpstr>
      <vt:lpstr>Hlookup</vt:lpstr>
      <vt:lpstr>Xlookup</vt:lpstr>
      <vt:lpstr>Index</vt:lpstr>
      <vt:lpstr>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KRISHNA KAYYAM</dc:creator>
  <cp:lastModifiedBy>Singh, Ankita {PEP}</cp:lastModifiedBy>
  <dcterms:created xsi:type="dcterms:W3CDTF">2015-06-05T18:17:20Z</dcterms:created>
  <dcterms:modified xsi:type="dcterms:W3CDTF">2025-11-22T10:12:29Z</dcterms:modified>
</cp:coreProperties>
</file>