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Excel Class Data and notes/"/>
    </mc:Choice>
  </mc:AlternateContent>
  <xr:revisionPtr revIDLastSave="393" documentId="13_ncr:1_{9FD84437-2448-4D3F-84A1-0AA8BBABECC8}" xr6:coauthVersionLast="47" xr6:coauthVersionMax="47" xr10:uidLastSave="{A270F788-EAE6-45DB-9C74-BDB218434DE6}"/>
  <bookViews>
    <workbookView xWindow="-110" yWindow="-110" windowWidth="19420" windowHeight="11500" tabRatio="955" activeTab="2" xr2:uid="{804A284F-30AB-4AA4-80D9-3863464D9C5B}"/>
  </bookViews>
  <sheets>
    <sheet name="IFS Functions" sheetId="7" r:id="rId1"/>
    <sheet name="Text " sheetId="1" r:id="rId2"/>
    <sheet name="Math" sheetId="6" r:id="rId3"/>
  </sheets>
  <definedNames>
    <definedName name="basic_sal">'IFS Functions'!$G$3:$G$22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2" i="6"/>
  <c r="H3" i="6"/>
  <c r="H4" i="6"/>
  <c r="H5" i="6"/>
  <c r="H6" i="6"/>
  <c r="H7" i="6"/>
  <c r="H8" i="6"/>
  <c r="H9" i="6"/>
  <c r="H10" i="6"/>
  <c r="H2" i="6"/>
  <c r="F3" i="6"/>
  <c r="F4" i="6"/>
  <c r="F5" i="6"/>
  <c r="F6" i="6"/>
  <c r="F7" i="6"/>
  <c r="F8" i="6"/>
  <c r="F9" i="6"/>
  <c r="F10" i="6"/>
  <c r="F2" i="6"/>
  <c r="E3" i="6"/>
  <c r="E4" i="6"/>
  <c r="E5" i="6"/>
  <c r="E6" i="6"/>
  <c r="E7" i="6"/>
  <c r="E8" i="6"/>
  <c r="E9" i="6"/>
  <c r="E10" i="6"/>
  <c r="E2" i="6"/>
  <c r="C3" i="6"/>
  <c r="C4" i="6"/>
  <c r="C5" i="6"/>
  <c r="C6" i="6"/>
  <c r="C7" i="6"/>
  <c r="C8" i="6"/>
  <c r="C9" i="6"/>
  <c r="C10" i="6"/>
  <c r="C2" i="6"/>
  <c r="B3" i="6"/>
  <c r="B4" i="6"/>
  <c r="B5" i="6"/>
  <c r="B6" i="6"/>
  <c r="B7" i="6"/>
  <c r="B8" i="6"/>
  <c r="B9" i="6"/>
  <c r="B10" i="6"/>
  <c r="B2" i="6"/>
  <c r="D17" i="1"/>
  <c r="D16" i="1"/>
  <c r="K14" i="1"/>
  <c r="K15" i="1"/>
  <c r="K16" i="1"/>
  <c r="A20" i="1"/>
  <c r="A19" i="1"/>
  <c r="A17" i="1"/>
  <c r="A16" i="1"/>
  <c r="Q3" i="1"/>
  <c r="Q4" i="1"/>
  <c r="Q5" i="1"/>
  <c r="Q6" i="1"/>
  <c r="Q7" i="1"/>
  <c r="Q8" i="1"/>
  <c r="Q9" i="1"/>
  <c r="Q10" i="1"/>
  <c r="Q11" i="1"/>
  <c r="Q14" i="1"/>
  <c r="Q15" i="1"/>
  <c r="Q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K3" i="1"/>
  <c r="K4" i="1"/>
  <c r="K5" i="1"/>
  <c r="K6" i="1"/>
  <c r="K7" i="1"/>
  <c r="K8" i="1"/>
  <c r="K9" i="1"/>
  <c r="K10" i="1"/>
  <c r="K11" i="1"/>
  <c r="K12" i="1"/>
  <c r="K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C3" i="1"/>
  <c r="C4" i="1"/>
  <c r="C5" i="1"/>
  <c r="C6" i="1"/>
  <c r="C7" i="1"/>
  <c r="C8" i="1"/>
  <c r="C9" i="1"/>
  <c r="C10" i="1"/>
  <c r="C11" i="1"/>
  <c r="C2" i="1"/>
  <c r="D3" i="1"/>
  <c r="D4" i="1"/>
  <c r="D5" i="1"/>
  <c r="D6" i="1"/>
  <c r="D7" i="1"/>
  <c r="D8" i="1"/>
  <c r="D9" i="1"/>
  <c r="D10" i="1"/>
  <c r="D11" i="1"/>
  <c r="D2" i="1"/>
  <c r="B3" i="1"/>
  <c r="B4" i="1"/>
  <c r="B5" i="1"/>
  <c r="B6" i="1"/>
  <c r="B7" i="1"/>
  <c r="B8" i="1"/>
  <c r="B9" i="1"/>
  <c r="B10" i="1"/>
  <c r="B11" i="1"/>
  <c r="B2" i="1"/>
  <c r="M4" i="7"/>
  <c r="M3" i="7"/>
  <c r="M2" i="7"/>
  <c r="J11" i="6"/>
  <c r="O12" i="1"/>
  <c r="Q12" i="1"/>
  <c r="F11" i="6"/>
  <c r="H11" i="6"/>
  <c r="B16" i="1"/>
  <c r="C11" i="6"/>
  <c r="E11" i="6"/>
  <c r="L15" i="1"/>
  <c r="E17" i="1"/>
  <c r="N3" i="7"/>
  <c r="B11" i="6"/>
  <c r="B19" i="1"/>
  <c r="H12" i="1"/>
  <c r="B12" i="1"/>
  <c r="C12" i="1"/>
  <c r="N12" i="1"/>
  <c r="L16" i="1"/>
  <c r="N2" i="7"/>
  <c r="E16" i="1"/>
  <c r="G12" i="1"/>
  <c r="B17" i="1"/>
  <c r="D12" i="1"/>
  <c r="F12" i="1"/>
  <c r="E12" i="1"/>
  <c r="N4" i="7"/>
  <c r="B20" i="1"/>
  <c r="L14" i="1"/>
</calcChain>
</file>

<file path=xl/sharedStrings.xml><?xml version="1.0" encoding="utf-8"?>
<sst xmlns="http://schemas.openxmlformats.org/spreadsheetml/2006/main" count="217" uniqueCount="136">
  <si>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</si>
  <si>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</si>
  <si>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</si>
  <si>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</si>
  <si>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</si>
  <si>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</si>
  <si>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</si>
  <si>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</si>
  <si>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</si>
  <si>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</si>
  <si>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</si>
  <si>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Anjali THakur</t>
  </si>
  <si>
    <t>Priya AgarwaL</t>
  </si>
  <si>
    <t>Sanjay GuptA</t>
  </si>
  <si>
    <t>Arjun JAiN</t>
  </si>
  <si>
    <t>Upper</t>
  </si>
  <si>
    <t>Lower</t>
  </si>
  <si>
    <t>Proper</t>
  </si>
  <si>
    <t>Len</t>
  </si>
  <si>
    <t>Left</t>
  </si>
  <si>
    <t>Right</t>
  </si>
  <si>
    <t>MID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</si>
  <si>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</si>
  <si>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</si>
  <si>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</si>
  <si>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</si>
  <si>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</si>
  <si>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</si>
  <si>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</si>
  <si>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</si>
  <si>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</si>
  <si>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</si>
  <si>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</si>
  <si>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</si>
  <si>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</si>
  <si>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</si>
  <si>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</si>
  <si>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</si>
  <si>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</si>
  <si>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</si>
  <si>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</si>
  <si>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</si>
  <si>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</si>
  <si>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Full Name</t>
  </si>
  <si>
    <t>Jp Kumar</t>
  </si>
  <si>
    <t>Exact</t>
  </si>
  <si>
    <t>(Operator)</t>
  </si>
  <si>
    <t>Substitute</t>
  </si>
  <si>
    <t>Region</t>
  </si>
  <si>
    <t>Data</t>
  </si>
  <si>
    <t>INT</t>
  </si>
  <si>
    <t>Round</t>
  </si>
  <si>
    <t>Power</t>
  </si>
  <si>
    <t>Power Function</t>
  </si>
  <si>
    <t>Anjali        THakur</t>
  </si>
  <si>
    <t>Priya                 AgarwaL</t>
  </si>
  <si>
    <t>R             Vasu</t>
  </si>
  <si>
    <t>Sanjay                  GuptA</t>
  </si>
  <si>
    <t>Jharna                    Biswal</t>
  </si>
  <si>
    <t>Prakash                    Dutta</t>
  </si>
  <si>
    <t>Manisha                   Guha</t>
  </si>
  <si>
    <t>Arjun             JAiN</t>
  </si>
  <si>
    <t>Arjun                        Kapoor</t>
  </si>
  <si>
    <t>JP                           Kumar</t>
  </si>
  <si>
    <t>Trim</t>
  </si>
  <si>
    <t>SQRT</t>
  </si>
  <si>
    <t>Emp Code</t>
  </si>
  <si>
    <t>Address</t>
  </si>
  <si>
    <t>City</t>
  </si>
  <si>
    <t>Department</t>
  </si>
  <si>
    <t>Basic</t>
  </si>
  <si>
    <t>Andheri (W)</t>
  </si>
  <si>
    <t>Mumbai</t>
  </si>
  <si>
    <t>W</t>
  </si>
  <si>
    <t>Training</t>
  </si>
  <si>
    <t>Govindpuri</t>
  </si>
  <si>
    <t>Delhi</t>
  </si>
  <si>
    <t>N</t>
  </si>
  <si>
    <t>Accounts</t>
  </si>
  <si>
    <t>Sector 9</t>
  </si>
  <si>
    <t>Noida</t>
  </si>
  <si>
    <t>Marketing</t>
  </si>
  <si>
    <t>Egmore</t>
  </si>
  <si>
    <t>Chennai</t>
  </si>
  <si>
    <t>S</t>
  </si>
  <si>
    <t>R&amp;D</t>
  </si>
  <si>
    <t>Link Road</t>
  </si>
  <si>
    <t>Cuttack</t>
  </si>
  <si>
    <t>E</t>
  </si>
  <si>
    <t>Elgin Road</t>
  </si>
  <si>
    <t>Kolkata</t>
  </si>
  <si>
    <t>Alipore</t>
  </si>
  <si>
    <t>MG Road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</si>
  <si>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</si>
  <si>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</si>
  <si>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</si>
  <si>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</si>
  <si>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</si>
  <si>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</si>
  <si>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</si>
  <si>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</si>
  <si>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</si>
  <si>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</si>
  <si>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</si>
  <si>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</si>
  <si>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</si>
  <si>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</si>
  <si>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</si>
  <si>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</si>
  <si>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</si>
  <si>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</si>
  <si>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</si>
  <si>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</si>
  <si>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</si>
  <si>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</si>
  <si>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ABS</t>
  </si>
  <si>
    <t>Sanjay Roy</t>
  </si>
  <si>
    <t>Q-1 Total Salary of Training Department Employees from W Region</t>
  </si>
  <si>
    <t>Q-2 Average Salary of Training Department Employees from W Region</t>
  </si>
  <si>
    <t>Q-3 Total Number of Employees from  Training Department and from W Region</t>
  </si>
  <si>
    <t>South Road</t>
  </si>
  <si>
    <t>Questions</t>
  </si>
  <si>
    <t>Answers</t>
  </si>
  <si>
    <t>Formula Used</t>
  </si>
  <si>
    <t>India</t>
  </si>
  <si>
    <t xml:space="preserve">is a </t>
  </si>
  <si>
    <t xml:space="preserve"> beautiful country</t>
  </si>
  <si>
    <t>In concat range allowed</t>
  </si>
  <si>
    <t>In concatenate range is not allowed</t>
  </si>
  <si>
    <t>case sensitive</t>
  </si>
  <si>
    <t>case insensitive</t>
  </si>
  <si>
    <t>Find(case sensitive)</t>
  </si>
  <si>
    <t>Search(case insensitive)</t>
  </si>
  <si>
    <t>Russia is a great country</t>
  </si>
  <si>
    <t>Russia is a great country and Russia is a big country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</si>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</sst>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6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166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1" fillId="2" borderId="1" xfId="0" applyFont="1" applyFill="1" applyBorder="1" applyAlignment="1">
      <alignment horizontal="center"/>
    </xf>
    <xf numFmtId="0" fontId="0" fillId="8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B8A-933F-4454-B6E1-803F16D7713B}">
  <sheetPr codeName="Sheet8"/>
  <dimension ref="A1:N22"/>
  <sheetViews>
    <sheetView zoomScale="120" zoomScaleNormal="120" workbookViewId="0">
      <selection activeCell="L12" sqref="L12"/>
    </sheetView>
  </sheetViews>
  <sheetFormatPr defaultRowHeight="14.5" x14ac:dyDescent="0.35"/>
  <cols>
    <col min="1" max="1" width="9" customWidth="1"/>
    <col min="2" max="2" width="14.90625" bestFit="1" customWidth="1"/>
    <col min="3" max="3" width="12.26953125" customWidth="1"/>
    <col min="4" max="4" width="9.81640625" bestFit="1" customWidth="1"/>
    <col min="5" max="5" width="6.81640625" bestFit="1" customWidth="1"/>
    <col min="6" max="6" width="11.08984375" bestFit="1" customWidth="1"/>
    <col min="7" max="7" width="10.81640625" bestFit="1" customWidth="1"/>
    <col min="8" max="8" width="4.08984375" customWidth="1"/>
    <col min="9" max="9" width="13.90625" customWidth="1"/>
    <col min="10" max="11" width="13.08984375" customWidth="1"/>
    <col min="12" max="12" width="26.453125" customWidth="1"/>
    <col min="13" max="13" width="12.6328125" customWidth="1"/>
    <col min="14" max="14" width="45.54296875" customWidth="1"/>
  </cols>
  <sheetData>
    <row r="1" spans="1:14" x14ac:dyDescent="0.35">
      <c r="J1" s="10" t="s">
        <v>121</v>
      </c>
      <c r="M1" s="10" t="s">
        <v>122</v>
      </c>
      <c r="N1" s="10" t="s">
        <v>123</v>
      </c>
    </row>
    <row r="2" spans="1:14" x14ac:dyDescent="0.35">
      <c r="A2" s="4" t="s">
        <v>66</v>
      </c>
      <c r="B2" s="4" t="s">
        <v>0</v>
      </c>
      <c r="C2" s="4" t="s">
        <v>67</v>
      </c>
      <c r="D2" s="4" t="s">
        <v>68</v>
      </c>
      <c r="E2" s="4" t="s">
        <v>48</v>
      </c>
      <c r="F2" s="4" t="s">
        <v>69</v>
      </c>
      <c r="G2" s="6" t="s">
        <v>70</v>
      </c>
      <c r="I2" s="13" t="s">
        <v>117</v>
      </c>
      <c r="J2" s="13"/>
      <c r="K2" s="13"/>
      <c r="L2" s="13"/>
      <c r="M2" s="12">
        <f>SUMIFS(basic_sal,F3:F22,"Training",E3:E22,"W")</f>
        <v>16250</v>
      </c>
      <c r="N2" s="11" t="str">
        <f ca="1">_xlfn.FORMULATEXT(M2)</f>
        <v>=SUMIFS(basic_sal,F3:F22,"Training",E3:E22,"W")</v>
      </c>
    </row>
    <row r="3" spans="1:14" x14ac:dyDescent="0.35">
      <c r="A3" s="5">
        <v>1</v>
      </c>
      <c r="B3" s="5" t="s">
        <v>1</v>
      </c>
      <c r="C3" s="5" t="s">
        <v>71</v>
      </c>
      <c r="D3" s="5" t="s">
        <v>72</v>
      </c>
      <c r="E3" s="5" t="s">
        <v>73</v>
      </c>
      <c r="F3" s="5" t="s">
        <v>74</v>
      </c>
      <c r="G3" s="7">
        <v>10000</v>
      </c>
      <c r="I3" s="13" t="s">
        <v>118</v>
      </c>
      <c r="J3" s="13"/>
      <c r="K3" s="13"/>
      <c r="L3" s="13"/>
      <c r="M3" s="12">
        <f>AVERAGEIFS(basic_sal,F3:F22,"Training",E3:E22,"W")</f>
        <v>8125</v>
      </c>
      <c r="N3" s="11" t="str">
        <f ca="1">_xlfn.FORMULATEXT(M3)</f>
        <v>=AVERAGEIFS(basic_sal,F3:F22,"Training",E3:E22,"W")</v>
      </c>
    </row>
    <row r="4" spans="1:14" x14ac:dyDescent="0.35">
      <c r="A4" s="5">
        <v>2</v>
      </c>
      <c r="B4" s="5" t="s">
        <v>2</v>
      </c>
      <c r="C4" s="5" t="s">
        <v>75</v>
      </c>
      <c r="D4" s="5" t="s">
        <v>76</v>
      </c>
      <c r="E4" s="5" t="s">
        <v>77</v>
      </c>
      <c r="F4" s="5" t="s">
        <v>78</v>
      </c>
      <c r="G4" s="7">
        <v>12000</v>
      </c>
      <c r="I4" s="13" t="s">
        <v>119</v>
      </c>
      <c r="J4" s="13"/>
      <c r="K4" s="13"/>
      <c r="L4" s="13"/>
      <c r="M4" s="12">
        <f>COUNTIFS(F3:F22,"Training",E3:E22,"W")</f>
        <v>2</v>
      </c>
      <c r="N4" s="11" t="str">
        <f ca="1">_xlfn.FORMULATEXT(M4)</f>
        <v>=COUNTIFS(F3:F22,"Training",E3:E22,"W")</v>
      </c>
    </row>
    <row r="5" spans="1:14" x14ac:dyDescent="0.35">
      <c r="A5" s="5">
        <v>3</v>
      </c>
      <c r="B5" s="5" t="s">
        <v>3</v>
      </c>
      <c r="C5" s="5" t="s">
        <v>79</v>
      </c>
      <c r="D5" s="5" t="s">
        <v>98</v>
      </c>
      <c r="E5" s="5" t="s">
        <v>77</v>
      </c>
      <c r="F5" s="5" t="s">
        <v>81</v>
      </c>
      <c r="G5" s="7">
        <v>11250</v>
      </c>
    </row>
    <row r="6" spans="1:14" x14ac:dyDescent="0.35">
      <c r="A6" s="5">
        <v>4</v>
      </c>
      <c r="B6" s="5" t="s">
        <v>4</v>
      </c>
      <c r="C6" s="5" t="s">
        <v>82</v>
      </c>
      <c r="D6" s="5" t="s">
        <v>83</v>
      </c>
      <c r="E6" s="5" t="s">
        <v>84</v>
      </c>
      <c r="F6" s="5" t="s">
        <v>85</v>
      </c>
      <c r="G6" s="7">
        <v>12000</v>
      </c>
    </row>
    <row r="7" spans="1:14" x14ac:dyDescent="0.35">
      <c r="A7" s="5">
        <v>5</v>
      </c>
      <c r="B7" s="5" t="s">
        <v>5</v>
      </c>
      <c r="C7" s="5" t="s">
        <v>120</v>
      </c>
      <c r="D7" s="5" t="s">
        <v>76</v>
      </c>
      <c r="E7" s="5" t="s">
        <v>77</v>
      </c>
      <c r="F7" s="5" t="s">
        <v>74</v>
      </c>
      <c r="G7" s="7">
        <v>16250</v>
      </c>
    </row>
    <row r="8" spans="1:14" x14ac:dyDescent="0.35">
      <c r="A8" s="5">
        <v>6</v>
      </c>
      <c r="B8" s="5" t="s">
        <v>6</v>
      </c>
      <c r="C8" s="5" t="s">
        <v>86</v>
      </c>
      <c r="D8" s="5" t="s">
        <v>87</v>
      </c>
      <c r="E8" s="5" t="s">
        <v>88</v>
      </c>
      <c r="F8" s="5" t="s">
        <v>78</v>
      </c>
      <c r="G8" s="7">
        <v>6400</v>
      </c>
    </row>
    <row r="9" spans="1:14" x14ac:dyDescent="0.35">
      <c r="A9" s="5">
        <v>7</v>
      </c>
      <c r="B9" s="5" t="s">
        <v>7</v>
      </c>
      <c r="C9" s="5" t="s">
        <v>89</v>
      </c>
      <c r="D9" s="5" t="s">
        <v>90</v>
      </c>
      <c r="E9" s="5" t="s">
        <v>88</v>
      </c>
      <c r="F9" s="5" t="s">
        <v>81</v>
      </c>
      <c r="G9" s="7">
        <v>4500</v>
      </c>
    </row>
    <row r="10" spans="1:14" x14ac:dyDescent="0.35">
      <c r="A10" s="5">
        <v>8</v>
      </c>
      <c r="B10" s="5" t="s">
        <v>8</v>
      </c>
      <c r="C10" s="5" t="s">
        <v>91</v>
      </c>
      <c r="D10" s="5" t="s">
        <v>90</v>
      </c>
      <c r="E10" s="5" t="s">
        <v>88</v>
      </c>
      <c r="F10" s="5" t="s">
        <v>85</v>
      </c>
      <c r="G10" s="7">
        <v>6275</v>
      </c>
    </row>
    <row r="11" spans="1:14" x14ac:dyDescent="0.35">
      <c r="A11" s="5">
        <v>9</v>
      </c>
      <c r="B11" s="5" t="s">
        <v>9</v>
      </c>
      <c r="C11" s="5" t="s">
        <v>92</v>
      </c>
      <c r="D11" s="5" t="s">
        <v>72</v>
      </c>
      <c r="E11" s="5" t="s">
        <v>73</v>
      </c>
      <c r="F11" s="5" t="s">
        <v>74</v>
      </c>
      <c r="G11" s="7">
        <v>6250</v>
      </c>
    </row>
    <row r="12" spans="1:14" x14ac:dyDescent="0.35">
      <c r="A12" s="5">
        <v>10</v>
      </c>
      <c r="B12" s="5" t="s">
        <v>10</v>
      </c>
      <c r="C12" s="5" t="s">
        <v>95</v>
      </c>
      <c r="D12" s="5" t="s">
        <v>93</v>
      </c>
      <c r="E12" s="5" t="s">
        <v>84</v>
      </c>
      <c r="F12" s="5" t="s">
        <v>78</v>
      </c>
      <c r="G12" s="7">
        <v>8750</v>
      </c>
    </row>
    <row r="13" spans="1:14" x14ac:dyDescent="0.35">
      <c r="A13" s="5">
        <v>11</v>
      </c>
      <c r="B13" s="5" t="s">
        <v>94</v>
      </c>
      <c r="C13" s="5" t="s">
        <v>95</v>
      </c>
      <c r="D13" s="5" t="s">
        <v>93</v>
      </c>
      <c r="E13" s="5" t="s">
        <v>84</v>
      </c>
      <c r="F13" s="5" t="s">
        <v>81</v>
      </c>
      <c r="G13" s="7">
        <v>11250</v>
      </c>
    </row>
    <row r="14" spans="1:14" x14ac:dyDescent="0.35">
      <c r="A14" s="5">
        <v>12</v>
      </c>
      <c r="B14" s="5" t="s">
        <v>96</v>
      </c>
      <c r="C14" s="5" t="s">
        <v>97</v>
      </c>
      <c r="D14" s="5" t="s">
        <v>98</v>
      </c>
      <c r="E14" s="5" t="s">
        <v>84</v>
      </c>
      <c r="F14" s="5" t="s">
        <v>85</v>
      </c>
      <c r="G14" s="7">
        <v>10000</v>
      </c>
      <c r="I14" s="9"/>
    </row>
    <row r="15" spans="1:14" x14ac:dyDescent="0.35">
      <c r="A15" s="5">
        <v>13</v>
      </c>
      <c r="B15" s="5" t="s">
        <v>99</v>
      </c>
      <c r="C15" s="5" t="s">
        <v>75</v>
      </c>
      <c r="D15" s="5" t="s">
        <v>100</v>
      </c>
      <c r="E15" s="5" t="s">
        <v>84</v>
      </c>
      <c r="F15" s="5" t="s">
        <v>74</v>
      </c>
      <c r="G15" s="7">
        <v>16250</v>
      </c>
      <c r="I15" s="8"/>
    </row>
    <row r="16" spans="1:14" x14ac:dyDescent="0.35">
      <c r="A16" s="5">
        <v>14</v>
      </c>
      <c r="B16" s="5" t="s">
        <v>101</v>
      </c>
      <c r="C16" s="5" t="s">
        <v>79</v>
      </c>
      <c r="D16" s="5" t="s">
        <v>98</v>
      </c>
      <c r="E16" s="5" t="s">
        <v>84</v>
      </c>
      <c r="F16" s="5" t="s">
        <v>78</v>
      </c>
      <c r="G16" s="7">
        <v>6400</v>
      </c>
    </row>
    <row r="17" spans="1:7" x14ac:dyDescent="0.35">
      <c r="A17" s="5">
        <v>15</v>
      </c>
      <c r="B17" s="5" t="s">
        <v>102</v>
      </c>
      <c r="C17" s="5" t="s">
        <v>103</v>
      </c>
      <c r="D17" s="5" t="s">
        <v>76</v>
      </c>
      <c r="E17" s="5" t="s">
        <v>77</v>
      </c>
      <c r="F17" s="5" t="s">
        <v>81</v>
      </c>
      <c r="G17" s="7">
        <v>4500</v>
      </c>
    </row>
    <row r="18" spans="1:7" x14ac:dyDescent="0.35">
      <c r="A18" s="5">
        <v>16</v>
      </c>
      <c r="B18" s="5" t="s">
        <v>104</v>
      </c>
      <c r="C18" s="5" t="s">
        <v>97</v>
      </c>
      <c r="D18" s="5" t="s">
        <v>98</v>
      </c>
      <c r="E18" s="5" t="s">
        <v>84</v>
      </c>
      <c r="F18" s="5" t="s">
        <v>85</v>
      </c>
      <c r="G18" s="7">
        <v>6275</v>
      </c>
    </row>
    <row r="19" spans="1:7" x14ac:dyDescent="0.35">
      <c r="A19" s="5">
        <v>17</v>
      </c>
      <c r="B19" s="5" t="s">
        <v>105</v>
      </c>
      <c r="C19" s="5" t="s">
        <v>106</v>
      </c>
      <c r="D19" s="5" t="s">
        <v>72</v>
      </c>
      <c r="E19" s="5" t="s">
        <v>73</v>
      </c>
      <c r="F19" s="5" t="s">
        <v>107</v>
      </c>
      <c r="G19" s="7">
        <v>6250</v>
      </c>
    </row>
    <row r="20" spans="1:7" x14ac:dyDescent="0.35">
      <c r="A20" s="5">
        <v>18</v>
      </c>
      <c r="B20" s="5" t="s">
        <v>108</v>
      </c>
      <c r="C20" s="5" t="s">
        <v>109</v>
      </c>
      <c r="D20" s="5" t="s">
        <v>72</v>
      </c>
      <c r="E20" s="5" t="s">
        <v>73</v>
      </c>
      <c r="F20" s="5" t="s">
        <v>85</v>
      </c>
      <c r="G20" s="7">
        <v>8750</v>
      </c>
    </row>
    <row r="21" spans="1:7" x14ac:dyDescent="0.35">
      <c r="A21" s="5">
        <v>19</v>
      </c>
      <c r="B21" s="5" t="s">
        <v>110</v>
      </c>
      <c r="C21" s="5" t="s">
        <v>111</v>
      </c>
      <c r="D21" s="5" t="s">
        <v>112</v>
      </c>
      <c r="E21" s="5" t="s">
        <v>73</v>
      </c>
      <c r="F21" s="5" t="s">
        <v>107</v>
      </c>
      <c r="G21" s="7">
        <v>11250</v>
      </c>
    </row>
    <row r="22" spans="1:7" x14ac:dyDescent="0.35">
      <c r="A22" s="5">
        <v>20</v>
      </c>
      <c r="B22" s="5" t="s">
        <v>113</v>
      </c>
      <c r="C22" s="5" t="s">
        <v>114</v>
      </c>
      <c r="D22" s="5" t="s">
        <v>80</v>
      </c>
      <c r="E22" s="5" t="s">
        <v>77</v>
      </c>
      <c r="F22" s="5" t="s">
        <v>74</v>
      </c>
      <c r="G22" s="7">
        <v>10000</v>
      </c>
    </row>
  </sheetData>
  <dataValidations count="3">
    <dataValidation type="custom" operator="greaterThanOrEqual" allowBlank="1" showInputMessage="1" showErrorMessage="1" sqref="G3:G22" xr:uid="{5536C0C2-2435-420F-96C7-E3A0CA654505}">
      <formula1>ISNUMBER(G3)</formula1>
    </dataValidation>
    <dataValidation type="custom" operator="greaterThanOrEqual" allowBlank="1" showInputMessage="1" showErrorMessage="1" sqref="G2" xr:uid="{95329FBA-CE69-40A7-914D-85AD5F5FCB2D}">
      <formula1>ISNUMBER(G3)</formula1>
    </dataValidation>
    <dataValidation type="custom" allowBlank="1" showInputMessage="1" showErrorMessage="1" sqref="B2:B22" xr:uid="{3E1DA0DF-09F8-4CC1-BC8B-6E897BC8B175}">
      <formula1>ISTEXT(B2)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907-C06F-4312-84E7-20602E6C7C3B}">
  <sheetPr codeName="Sheet2"/>
  <dimension ref="A1:Q20"/>
  <sheetViews>
    <sheetView zoomScale="116" zoomScaleNormal="116" workbookViewId="0">
      <selection activeCell="C14" sqref="C14"/>
    </sheetView>
  </sheetViews>
  <sheetFormatPr defaultColWidth="18.453125" defaultRowHeight="14.5" x14ac:dyDescent="0.35"/>
  <cols>
    <col min="1" max="1" width="21.1796875" style="5" customWidth="1"/>
    <col min="2" max="2" width="23.453125" style="5" customWidth="1"/>
    <col min="3" max="3" width="17.08984375" style="5" customWidth="1"/>
    <col min="4" max="4" width="42.1796875" style="5" customWidth="1"/>
    <col min="5" max="5" width="40.453125" style="5" customWidth="1"/>
    <col min="6" max="6" width="10.7265625" style="5" customWidth="1"/>
    <col min="7" max="8" width="11.6328125" style="5" customWidth="1"/>
    <col min="9" max="10" width="18.453125" style="5"/>
    <col min="11" max="11" width="24.54296875" style="5" customWidth="1"/>
    <col min="12" max="12" width="28.7265625" style="5" customWidth="1"/>
    <col min="13" max="13" width="30.54296875" style="5" customWidth="1"/>
    <col min="14" max="15" width="13.54296875" style="5" customWidth="1"/>
    <col min="16" max="16" width="22.54296875" style="5" bestFit="1" customWidth="1"/>
    <col min="17" max="16384" width="18.453125" style="5"/>
  </cols>
  <sheetData>
    <row r="1" spans="1:17" s="3" customFormat="1" x14ac:dyDescent="0.35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2" t="s">
        <v>41</v>
      </c>
      <c r="J1" s="2" t="s">
        <v>42</v>
      </c>
      <c r="K1" s="4" t="s">
        <v>43</v>
      </c>
      <c r="L1" s="2" t="s">
        <v>0</v>
      </c>
      <c r="M1" s="2" t="s">
        <v>0</v>
      </c>
      <c r="N1" s="14" t="s">
        <v>45</v>
      </c>
      <c r="O1" s="4" t="s">
        <v>46</v>
      </c>
      <c r="P1" s="2" t="s">
        <v>0</v>
      </c>
      <c r="Q1" s="4" t="s">
        <v>64</v>
      </c>
    </row>
    <row r="2" spans="1:17" x14ac:dyDescent="0.35">
      <c r="A2" s="5" t="s">
        <v>1</v>
      </c>
      <c r="B2" s="5" t="str">
        <f>UPPER(A2)</f>
        <v>JP KUMAR</v>
      </c>
      <c r="C2" s="5" t="str">
        <f>LOWER(A2)</f>
        <v>jp kumar</v>
      </c>
      <c r="D2" s="5" t="str">
        <f>PROPER(A2)</f>
        <v>Jp Kumar</v>
      </c>
      <c r="E2" s="5">
        <f>LEN(A2)</f>
        <v>8</v>
      </c>
      <c r="F2" s="5" t="str">
        <f>LEFT(A2,3)</f>
        <v xml:space="preserve">JP </v>
      </c>
      <c r="G2" s="5" t="str">
        <f>RIGHT(A2,3)</f>
        <v>mar</v>
      </c>
      <c r="H2" s="5" t="str">
        <f>MID(A2,3,5)</f>
        <v xml:space="preserve"> Kuma</v>
      </c>
      <c r="I2" s="5" t="s">
        <v>22</v>
      </c>
      <c r="J2" s="5" t="s">
        <v>23</v>
      </c>
      <c r="K2" s="5" t="str">
        <f>_xlfn.CONCAT(I2," ",J2)</f>
        <v>JP Kumar</v>
      </c>
      <c r="L2" s="5" t="s">
        <v>1</v>
      </c>
      <c r="M2" s="5" t="s">
        <v>44</v>
      </c>
      <c r="N2" s="5" t="b">
        <f>EXACT(L2,M2)</f>
        <v>0</v>
      </c>
      <c r="O2" s="5" t="b">
        <f>L2=M2</f>
        <v>1</v>
      </c>
      <c r="P2" s="5" t="s">
        <v>63</v>
      </c>
      <c r="Q2" s="5" t="str">
        <f>TRIM(P2)</f>
        <v>JP Kumar</v>
      </c>
    </row>
    <row r="3" spans="1:17" x14ac:dyDescent="0.35">
      <c r="A3" s="5" t="s">
        <v>11</v>
      </c>
      <c r="B3" s="5" t="str">
        <f t="shared" ref="B3:B11" si="0">UPPER(A3)</f>
        <v>ANJALI THAKUR</v>
      </c>
      <c r="C3" s="5" t="str">
        <f t="shared" ref="C3:C11" si="1">LOWER(A3)</f>
        <v>anjali thakur</v>
      </c>
      <c r="D3" s="5" t="str">
        <f t="shared" ref="D3:D11" si="2">PROPER(A3)</f>
        <v>Anjali Thakur</v>
      </c>
      <c r="E3" s="5">
        <f t="shared" ref="E3:E11" si="3">LEN(A3)</f>
        <v>13</v>
      </c>
      <c r="F3" s="5" t="str">
        <f t="shared" ref="F3:F11" si="4">LEFT(A3,3)</f>
        <v>Anj</v>
      </c>
      <c r="G3" s="5" t="str">
        <f t="shared" ref="G3:G11" si="5">RIGHT(A3,3)</f>
        <v>kur</v>
      </c>
      <c r="H3" s="5" t="str">
        <f t="shared" ref="H3:H11" si="6">MID(A3,3,5)</f>
        <v xml:space="preserve">jali </v>
      </c>
      <c r="I3" s="5" t="s">
        <v>24</v>
      </c>
      <c r="J3" s="5" t="s">
        <v>25</v>
      </c>
      <c r="K3" s="5" t="str">
        <f t="shared" ref="K3:K12" si="7">_xlfn.CONCAT(I3," ",J3)</f>
        <v>Anjali THakur</v>
      </c>
      <c r="L3" s="5" t="s">
        <v>11</v>
      </c>
      <c r="M3" s="5" t="s">
        <v>2</v>
      </c>
      <c r="N3" s="5" t="b">
        <f t="shared" ref="N3:N11" si="8">EXACT(L3,M3)</f>
        <v>0</v>
      </c>
      <c r="O3" s="5" t="b">
        <f t="shared" ref="O3:O11" si="9">L3=M3</f>
        <v>1</v>
      </c>
      <c r="P3" s="5" t="s">
        <v>54</v>
      </c>
      <c r="Q3" s="5" t="str">
        <f t="shared" ref="Q3:Q15" si="10">TRIM(P3)</f>
        <v>Anjali THakur</v>
      </c>
    </row>
    <row r="4" spans="1:17" x14ac:dyDescent="0.35">
      <c r="A4" s="5" t="s">
        <v>12</v>
      </c>
      <c r="B4" s="5" t="str">
        <f t="shared" si="0"/>
        <v>PRIYA AGARWAL</v>
      </c>
      <c r="C4" s="5" t="str">
        <f t="shared" si="1"/>
        <v>priya agarwal</v>
      </c>
      <c r="D4" s="5" t="str">
        <f t="shared" si="2"/>
        <v>Priya Agarwal</v>
      </c>
      <c r="E4" s="5">
        <f t="shared" si="3"/>
        <v>13</v>
      </c>
      <c r="F4" s="5" t="str">
        <f t="shared" si="4"/>
        <v>Pri</v>
      </c>
      <c r="G4" s="5" t="str">
        <f t="shared" si="5"/>
        <v>waL</v>
      </c>
      <c r="H4" s="5" t="str">
        <f t="shared" si="6"/>
        <v>iya A</v>
      </c>
      <c r="I4" s="5" t="s">
        <v>26</v>
      </c>
      <c r="J4" s="5" t="s">
        <v>27</v>
      </c>
      <c r="K4" s="5" t="str">
        <f t="shared" si="7"/>
        <v>Priya AgarwaL</v>
      </c>
      <c r="L4" s="5" t="s">
        <v>12</v>
      </c>
      <c r="M4" s="5" t="s">
        <v>3</v>
      </c>
      <c r="N4" s="5" t="b">
        <f t="shared" si="8"/>
        <v>0</v>
      </c>
      <c r="O4" s="5" t="b">
        <f t="shared" si="9"/>
        <v>1</v>
      </c>
      <c r="P4" s="5" t="s">
        <v>55</v>
      </c>
      <c r="Q4" s="5" t="str">
        <f t="shared" si="10"/>
        <v>Priya AgarwaL</v>
      </c>
    </row>
    <row r="5" spans="1:17" x14ac:dyDescent="0.35">
      <c r="A5" s="5" t="s">
        <v>4</v>
      </c>
      <c r="B5" s="5" t="str">
        <f t="shared" si="0"/>
        <v>R VASU</v>
      </c>
      <c r="C5" s="5" t="str">
        <f t="shared" si="1"/>
        <v>r vasu</v>
      </c>
      <c r="D5" s="5" t="str">
        <f t="shared" si="2"/>
        <v>R Vasu</v>
      </c>
      <c r="E5" s="5">
        <f t="shared" si="3"/>
        <v>6</v>
      </c>
      <c r="F5" s="5" t="str">
        <f t="shared" si="4"/>
        <v>R V</v>
      </c>
      <c r="G5" s="5" t="str">
        <f t="shared" si="5"/>
        <v>asu</v>
      </c>
      <c r="H5" s="5" t="str">
        <f t="shared" si="6"/>
        <v>Vasu</v>
      </c>
      <c r="I5" s="5" t="s">
        <v>28</v>
      </c>
      <c r="J5" s="5" t="s">
        <v>29</v>
      </c>
      <c r="K5" s="5" t="str">
        <f t="shared" si="7"/>
        <v>R Vasu</v>
      </c>
      <c r="L5" s="5" t="s">
        <v>4</v>
      </c>
      <c r="M5" s="5" t="s">
        <v>4</v>
      </c>
      <c r="N5" s="5" t="b">
        <f t="shared" si="8"/>
        <v>1</v>
      </c>
      <c r="O5" s="5" t="b">
        <f t="shared" si="9"/>
        <v>1</v>
      </c>
      <c r="P5" s="5" t="s">
        <v>56</v>
      </c>
      <c r="Q5" s="5" t="str">
        <f t="shared" si="10"/>
        <v>R Vasu</v>
      </c>
    </row>
    <row r="6" spans="1:17" x14ac:dyDescent="0.35">
      <c r="A6" s="5" t="s">
        <v>13</v>
      </c>
      <c r="B6" s="5" t="str">
        <f t="shared" si="0"/>
        <v>SANJAY GUPTA</v>
      </c>
      <c r="C6" s="5" t="str">
        <f t="shared" si="1"/>
        <v>sanjay gupta</v>
      </c>
      <c r="D6" s="5" t="str">
        <f t="shared" si="2"/>
        <v>Sanjay Gupta</v>
      </c>
      <c r="E6" s="5">
        <f t="shared" si="3"/>
        <v>12</v>
      </c>
      <c r="F6" s="5" t="str">
        <f t="shared" si="4"/>
        <v>San</v>
      </c>
      <c r="G6" s="5" t="str">
        <f t="shared" si="5"/>
        <v>ptA</v>
      </c>
      <c r="H6" s="5" t="str">
        <f t="shared" si="6"/>
        <v xml:space="preserve">njay </v>
      </c>
      <c r="I6" s="5" t="s">
        <v>30</v>
      </c>
      <c r="J6" s="5" t="s">
        <v>31</v>
      </c>
      <c r="K6" s="5" t="str">
        <f t="shared" si="7"/>
        <v>Sanjay GuptA</v>
      </c>
      <c r="L6" s="5" t="s">
        <v>116</v>
      </c>
      <c r="M6" s="5" t="s">
        <v>5</v>
      </c>
      <c r="N6" s="5" t="b">
        <f t="shared" si="8"/>
        <v>0</v>
      </c>
      <c r="O6" s="5" t="b">
        <f t="shared" si="9"/>
        <v>0</v>
      </c>
      <c r="P6" s="5" t="s">
        <v>57</v>
      </c>
      <c r="Q6" s="5" t="str">
        <f t="shared" si="10"/>
        <v>Sanjay GuptA</v>
      </c>
    </row>
    <row r="7" spans="1:17" x14ac:dyDescent="0.35">
      <c r="A7" s="5" t="s">
        <v>6</v>
      </c>
      <c r="B7" s="5" t="str">
        <f t="shared" si="0"/>
        <v>JHARNA BISWAL</v>
      </c>
      <c r="C7" s="5" t="str">
        <f t="shared" si="1"/>
        <v>jharna biswal</v>
      </c>
      <c r="D7" s="5" t="str">
        <f t="shared" si="2"/>
        <v>Jharna Biswal</v>
      </c>
      <c r="E7" s="5">
        <f t="shared" si="3"/>
        <v>13</v>
      </c>
      <c r="F7" s="5" t="str">
        <f t="shared" si="4"/>
        <v>Jha</v>
      </c>
      <c r="G7" s="5" t="str">
        <f t="shared" si="5"/>
        <v>wal</v>
      </c>
      <c r="H7" s="5" t="str">
        <f t="shared" si="6"/>
        <v xml:space="preserve">arna </v>
      </c>
      <c r="I7" s="5" t="s">
        <v>32</v>
      </c>
      <c r="J7" s="5" t="s">
        <v>33</v>
      </c>
      <c r="K7" s="5" t="str">
        <f t="shared" si="7"/>
        <v>Jharna Biswal</v>
      </c>
      <c r="L7" s="5" t="s">
        <v>6</v>
      </c>
      <c r="M7" s="5" t="s">
        <v>6</v>
      </c>
      <c r="N7" s="5" t="b">
        <f t="shared" si="8"/>
        <v>1</v>
      </c>
      <c r="O7" s="5" t="b">
        <f t="shared" si="9"/>
        <v>1</v>
      </c>
      <c r="P7" s="5" t="s">
        <v>58</v>
      </c>
      <c r="Q7" s="5" t="str">
        <f t="shared" si="10"/>
        <v>Jharna Biswal</v>
      </c>
    </row>
    <row r="8" spans="1:17" x14ac:dyDescent="0.35">
      <c r="A8" s="5" t="s">
        <v>7</v>
      </c>
      <c r="B8" s="5" t="str">
        <f t="shared" si="0"/>
        <v>PRAKASH DUTTA</v>
      </c>
      <c r="C8" s="5" t="str">
        <f t="shared" si="1"/>
        <v>prakash dutta</v>
      </c>
      <c r="D8" s="5" t="str">
        <f t="shared" si="2"/>
        <v>Prakash Dutta</v>
      </c>
      <c r="E8" s="5">
        <f t="shared" si="3"/>
        <v>13</v>
      </c>
      <c r="F8" s="5" t="str">
        <f t="shared" si="4"/>
        <v>Pra</v>
      </c>
      <c r="G8" s="5" t="str">
        <f t="shared" si="5"/>
        <v>tta</v>
      </c>
      <c r="H8" s="5" t="str">
        <f t="shared" si="6"/>
        <v>akash</v>
      </c>
      <c r="I8" s="5" t="s">
        <v>34</v>
      </c>
      <c r="J8" s="5" t="s">
        <v>35</v>
      </c>
      <c r="K8" s="5" t="str">
        <f t="shared" si="7"/>
        <v>Prakash Dutta</v>
      </c>
      <c r="L8" s="5" t="s">
        <v>7</v>
      </c>
      <c r="M8" s="5" t="s">
        <v>7</v>
      </c>
      <c r="N8" s="5" t="b">
        <f t="shared" si="8"/>
        <v>1</v>
      </c>
      <c r="O8" s="5" t="b">
        <f t="shared" si="9"/>
        <v>1</v>
      </c>
      <c r="P8" s="5" t="s">
        <v>59</v>
      </c>
      <c r="Q8" s="5" t="str">
        <f t="shared" si="10"/>
        <v>Prakash Dutta</v>
      </c>
    </row>
    <row r="9" spans="1:17" x14ac:dyDescent="0.35">
      <c r="A9" s="5" t="s">
        <v>8</v>
      </c>
      <c r="B9" s="5" t="str">
        <f t="shared" si="0"/>
        <v>MANISHA GUHA</v>
      </c>
      <c r="C9" s="5" t="str">
        <f t="shared" si="1"/>
        <v>manisha guha</v>
      </c>
      <c r="D9" s="5" t="str">
        <f t="shared" si="2"/>
        <v>Manisha Guha</v>
      </c>
      <c r="E9" s="5">
        <f t="shared" si="3"/>
        <v>12</v>
      </c>
      <c r="F9" s="5" t="str">
        <f t="shared" si="4"/>
        <v>Man</v>
      </c>
      <c r="G9" s="5" t="str">
        <f t="shared" si="5"/>
        <v>uha</v>
      </c>
      <c r="H9" s="5" t="str">
        <f t="shared" si="6"/>
        <v>nisha</v>
      </c>
      <c r="I9" s="5" t="s">
        <v>36</v>
      </c>
      <c r="J9" s="5" t="s">
        <v>37</v>
      </c>
      <c r="K9" s="5" t="str">
        <f t="shared" si="7"/>
        <v>Manisha Guha</v>
      </c>
      <c r="L9" s="5" t="s">
        <v>8</v>
      </c>
      <c r="M9" s="5" t="s">
        <v>8</v>
      </c>
      <c r="N9" s="5" t="b">
        <f t="shared" si="8"/>
        <v>1</v>
      </c>
      <c r="O9" s="5" t="b">
        <f t="shared" si="9"/>
        <v>1</v>
      </c>
      <c r="P9" s="5" t="s">
        <v>60</v>
      </c>
      <c r="Q9" s="5" t="str">
        <f t="shared" si="10"/>
        <v>Manisha Guha</v>
      </c>
    </row>
    <row r="10" spans="1:17" x14ac:dyDescent="0.35">
      <c r="A10" s="5" t="s">
        <v>14</v>
      </c>
      <c r="B10" s="5" t="str">
        <f t="shared" si="0"/>
        <v>ARJUN JAIN</v>
      </c>
      <c r="C10" s="5" t="str">
        <f t="shared" si="1"/>
        <v>arjun jain</v>
      </c>
      <c r="D10" s="5" t="str">
        <f t="shared" si="2"/>
        <v>Arjun Jain</v>
      </c>
      <c r="E10" s="5">
        <f t="shared" si="3"/>
        <v>10</v>
      </c>
      <c r="F10" s="5" t="str">
        <f t="shared" si="4"/>
        <v>Arj</v>
      </c>
      <c r="G10" s="5" t="str">
        <f t="shared" si="5"/>
        <v>AiN</v>
      </c>
      <c r="H10" s="5" t="str">
        <f t="shared" si="6"/>
        <v>jun J</v>
      </c>
      <c r="I10" s="5" t="s">
        <v>38</v>
      </c>
      <c r="J10" s="5" t="s">
        <v>39</v>
      </c>
      <c r="K10" s="5" t="str">
        <f t="shared" si="7"/>
        <v>Arjun JAiN</v>
      </c>
      <c r="L10" s="5" t="s">
        <v>14</v>
      </c>
      <c r="M10" s="5" t="s">
        <v>9</v>
      </c>
      <c r="N10" s="5" t="b">
        <f t="shared" si="8"/>
        <v>0</v>
      </c>
      <c r="O10" s="5" t="b">
        <f t="shared" si="9"/>
        <v>1</v>
      </c>
      <c r="P10" s="5" t="s">
        <v>61</v>
      </c>
      <c r="Q10" s="5" t="str">
        <f t="shared" si="10"/>
        <v>Arjun JAiN</v>
      </c>
    </row>
    <row r="11" spans="1:17" x14ac:dyDescent="0.35">
      <c r="A11" s="5" t="s">
        <v>10</v>
      </c>
      <c r="B11" s="5" t="str">
        <f t="shared" si="0"/>
        <v>ARJUN KAPOOR</v>
      </c>
      <c r="C11" s="5" t="str">
        <f t="shared" si="1"/>
        <v>arjun kapoor</v>
      </c>
      <c r="D11" s="5" t="str">
        <f t="shared" si="2"/>
        <v>Arjun Kapoor</v>
      </c>
      <c r="E11" s="5">
        <f t="shared" si="3"/>
        <v>12</v>
      </c>
      <c r="F11" s="5" t="str">
        <f t="shared" si="4"/>
        <v>Arj</v>
      </c>
      <c r="G11" s="5" t="str">
        <f t="shared" si="5"/>
        <v>oor</v>
      </c>
      <c r="H11" s="5" t="str">
        <f t="shared" si="6"/>
        <v>jun K</v>
      </c>
      <c r="I11" s="5" t="s">
        <v>38</v>
      </c>
      <c r="J11" s="5" t="s">
        <v>40</v>
      </c>
      <c r="K11" s="5" t="str">
        <f t="shared" si="7"/>
        <v>Arjun Kapoor</v>
      </c>
      <c r="L11" s="5" t="s">
        <v>10</v>
      </c>
      <c r="M11" s="5" t="s">
        <v>10</v>
      </c>
      <c r="N11" s="5" t="b">
        <f t="shared" si="8"/>
        <v>1</v>
      </c>
      <c r="O11" s="5" t="b">
        <f t="shared" si="9"/>
        <v>1</v>
      </c>
      <c r="P11" s="5" t="s">
        <v>62</v>
      </c>
      <c r="Q11" s="5" t="str">
        <f t="shared" si="10"/>
        <v>Arjun Kapoor</v>
      </c>
    </row>
    <row r="12" spans="1:17" x14ac:dyDescent="0.35">
      <c r="A12" s="13" t="s">
        <v>123</v>
      </c>
      <c r="B12" s="5" t="str">
        <f t="shared" ref="B12:H12" ca="1" si="11">_xlfn.FORMULATEXT(B2)</f>
        <v>=UPPER(A2)</v>
      </c>
      <c r="C12" s="5" t="str">
        <f t="shared" ca="1" si="11"/>
        <v>=LOWER(A2)</v>
      </c>
      <c r="D12" s="5" t="str">
        <f t="shared" ca="1" si="11"/>
        <v>=PROPER(A2)</v>
      </c>
      <c r="E12" s="5" t="str">
        <f t="shared" ca="1" si="11"/>
        <v>=LEN(A2)</v>
      </c>
      <c r="F12" s="5" t="str">
        <f t="shared" ca="1" si="11"/>
        <v>=LEFT(A2,3)</v>
      </c>
      <c r="G12" s="5" t="str">
        <f t="shared" ca="1" si="11"/>
        <v>=RIGHT(A2,3)</v>
      </c>
      <c r="H12" s="5" t="str">
        <f t="shared" ca="1" si="11"/>
        <v>=MID(A2,3,5)</v>
      </c>
      <c r="K12" s="5" t="str">
        <f t="shared" si="7"/>
        <v xml:space="preserve"> </v>
      </c>
      <c r="N12" s="5" t="str">
        <f ca="1">_xlfn.FORMULATEXT(N2)</f>
        <v>=EXACT(L2,M2)</v>
      </c>
      <c r="O12" s="5" t="str">
        <f ca="1">_xlfn.FORMULATEXT(O2)</f>
        <v>=L2=M2</v>
      </c>
      <c r="Q12" s="5" t="str">
        <f ca="1">_xlfn.FORMULATEXT(Q2)</f>
        <v>=TRIM(P2)</v>
      </c>
    </row>
    <row r="13" spans="1:17" x14ac:dyDescent="0.35">
      <c r="A13" s="15"/>
    </row>
    <row r="14" spans="1:17" x14ac:dyDescent="0.35">
      <c r="D14" s="5" t="s">
        <v>133</v>
      </c>
      <c r="E14" s="5" t="s">
        <v>134</v>
      </c>
      <c r="J14" s="15" t="s">
        <v>124</v>
      </c>
      <c r="K14" s="15" t="str">
        <f>_xlfn.CONCAT(J14," ",J15,J16)</f>
        <v>India is a  beautiful country</v>
      </c>
      <c r="L14" s="15" t="str">
        <f ca="1">_xlfn.FORMULATEXT(K14)</f>
        <v>=CONCAT(J14," ",J15,J16)</v>
      </c>
      <c r="M14" s="15" t="s">
        <v>127</v>
      </c>
      <c r="N14" s="5" t="s">
        <v>129</v>
      </c>
      <c r="O14" s="5" t="s">
        <v>130</v>
      </c>
      <c r="Q14" s="5" t="str">
        <f t="shared" si="10"/>
        <v/>
      </c>
    </row>
    <row r="15" spans="1:17" x14ac:dyDescent="0.35">
      <c r="A15" s="4" t="s">
        <v>131</v>
      </c>
      <c r="B15" s="13" t="s">
        <v>123</v>
      </c>
      <c r="D15" s="4" t="s">
        <v>47</v>
      </c>
      <c r="E15" s="13" t="s">
        <v>123</v>
      </c>
      <c r="J15" s="15" t="s">
        <v>125</v>
      </c>
      <c r="K15" s="15" t="str">
        <f>CONCATENATE(J14," ",J15,J16)</f>
        <v>India is a  beautiful country</v>
      </c>
      <c r="L15" s="15" t="str">
        <f t="shared" ref="L15:L16" ca="1" si="12">_xlfn.FORMULATEXT(K15)</f>
        <v>=CONCATENATE(J14," ",J15,J16)</v>
      </c>
      <c r="M15" s="15" t="s">
        <v>128</v>
      </c>
      <c r="Q15" s="5" t="str">
        <f t="shared" si="10"/>
        <v/>
      </c>
    </row>
    <row r="16" spans="1:17" x14ac:dyDescent="0.35">
      <c r="A16" s="5">
        <f>FIND("el","Hello Word")</f>
        <v>2</v>
      </c>
      <c r="B16" s="5" t="str">
        <f ca="1">_xlfn.FORMULATEXT(A16)</f>
        <v>=FIND("el","Hello Word")</v>
      </c>
      <c r="D16" s="5" t="str">
        <f>SUBSTITUTE(D14,"Russ","Ind")</f>
        <v>India is a great country</v>
      </c>
      <c r="E16" s="5" t="str">
        <f ca="1">_xlfn.FORMULATEXT(D16)</f>
        <v>=SUBSTITUTE(D14,"Russ","Ind")</v>
      </c>
      <c r="J16" s="15" t="s">
        <v>126</v>
      </c>
      <c r="K16" s="15" t="str">
        <f>J14&amp;" "&amp;J15&amp;J16</f>
        <v>India is a  beautiful country</v>
      </c>
      <c r="L16" s="15" t="str">
        <f t="shared" ca="1" si="12"/>
        <v>=J14&amp;" "&amp;J15&amp;J16</v>
      </c>
      <c r="M16" s="15"/>
    </row>
    <row r="17" spans="1:5" x14ac:dyDescent="0.35">
      <c r="A17" s="5" t="e">
        <f>FIND("El","Hello World")</f>
        <v>#VALUE!</v>
      </c>
      <c r="B17" s="5" t="str">
        <f t="shared" ref="B17:B20" ca="1" si="13">_xlfn.FORMULATEXT(A17)</f>
        <v>=FIND("El","Hello World")</v>
      </c>
      <c r="D17" s="5" t="str">
        <f>SUBSTITUTE(E14,"Russia","India",1)</f>
        <v>India is a great country and Russia is a big country</v>
      </c>
      <c r="E17" s="5" t="str">
        <f t="shared" ref="E17" ca="1" si="14">_xlfn.FORMULATEXT(D17)</f>
        <v>=SUBSTITUTE(E14,"Russia","India",1)</v>
      </c>
    </row>
    <row r="18" spans="1:5" x14ac:dyDescent="0.35">
      <c r="A18" s="4" t="s">
        <v>132</v>
      </c>
      <c r="B18" s="13" t="s">
        <v>123</v>
      </c>
    </row>
    <row r="19" spans="1:5" x14ac:dyDescent="0.35">
      <c r="A19" s="5">
        <f>SEARCH("el","Hello")</f>
        <v>2</v>
      </c>
      <c r="B19" s="5" t="str">
        <f t="shared" ca="1" si="13"/>
        <v>=SEARCH("el","Hello")</v>
      </c>
    </row>
    <row r="20" spans="1:5" x14ac:dyDescent="0.35">
      <c r="A20" s="5">
        <f>SEARCH("El","Hello")</f>
        <v>2</v>
      </c>
      <c r="B20" s="5" t="str">
        <f t="shared" ca="1" si="13"/>
        <v>=SEARCH("El","Hello")</v>
      </c>
    </row>
  </sheetData>
  <dataValidations count="1">
    <dataValidation type="custom" allowBlank="1" showInputMessage="1" showErrorMessage="1" sqref="A1:A11 I1:I11 L1:L11 P1:P11" xr:uid="{D16A34D6-7D5F-4275-A3B1-EFE8C37F9B1B}">
      <formula1>ISTEXT(A1)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4E8-5ED5-4908-B896-9965F809130A}">
  <sheetPr codeName="Sheet7"/>
  <dimension ref="A1:J11"/>
  <sheetViews>
    <sheetView tabSelected="1" zoomScale="83" zoomScaleNormal="83" workbookViewId="0">
      <selection activeCell="Q5" sqref="Q5"/>
    </sheetView>
  </sheetViews>
  <sheetFormatPr defaultRowHeight="14.5" x14ac:dyDescent="0.35"/>
  <cols>
    <col min="3" max="3" width="12.90625" customWidth="1"/>
    <col min="5" max="5" width="12.81640625" customWidth="1"/>
    <col min="6" max="6" width="13.81640625" bestFit="1" customWidth="1"/>
  </cols>
  <sheetData>
    <row r="1" spans="1:10" s="1" customFormat="1" x14ac:dyDescent="0.35">
      <c r="A1" s="16" t="s">
        <v>49</v>
      </c>
      <c r="B1" s="3" t="s">
        <v>50</v>
      </c>
      <c r="C1" s="3" t="s">
        <v>51</v>
      </c>
      <c r="D1" s="16" t="s">
        <v>49</v>
      </c>
      <c r="E1" s="3" t="s">
        <v>52</v>
      </c>
      <c r="F1" s="3" t="s">
        <v>53</v>
      </c>
      <c r="G1" s="16" t="s">
        <v>49</v>
      </c>
      <c r="H1" s="3" t="s">
        <v>65</v>
      </c>
      <c r="I1" s="16" t="s">
        <v>49</v>
      </c>
      <c r="J1" s="3" t="s">
        <v>115</v>
      </c>
    </row>
    <row r="2" spans="1:10" x14ac:dyDescent="0.35">
      <c r="A2" s="5">
        <v>5.46</v>
      </c>
      <c r="B2" s="5">
        <f>INT(A2)</f>
        <v>5</v>
      </c>
      <c r="C2" s="5">
        <f>ROUND(A2,0)</f>
        <v>5</v>
      </c>
      <c r="D2" s="5">
        <v>4</v>
      </c>
      <c r="E2" s="5">
        <f>POWER(D2,2)</f>
        <v>16</v>
      </c>
      <c r="F2" s="5">
        <f>D2^2</f>
        <v>16</v>
      </c>
      <c r="G2" s="5">
        <v>25</v>
      </c>
      <c r="H2" s="5">
        <f>SQRT(G2)</f>
        <v>5</v>
      </c>
      <c r="I2" s="5">
        <v>-25</v>
      </c>
      <c r="J2" s="5">
        <f>ABS(I2)</f>
        <v>25</v>
      </c>
    </row>
    <row r="3" spans="1:10" x14ac:dyDescent="0.35">
      <c r="A3" s="5">
        <v>1.6</v>
      </c>
      <c r="B3" s="5">
        <f t="shared" ref="B3:B10" si="0">INT(A3)</f>
        <v>1</v>
      </c>
      <c r="C3" s="5">
        <f t="shared" ref="C3:C10" si="1">ROUND(A3,0)</f>
        <v>2</v>
      </c>
      <c r="D3" s="5">
        <v>6</v>
      </c>
      <c r="E3" s="5">
        <f t="shared" ref="E3:E10" si="2">POWER(D3,2)</f>
        <v>36</v>
      </c>
      <c r="F3" s="5">
        <f t="shared" ref="F3:F10" si="3">D3^2</f>
        <v>36</v>
      </c>
      <c r="G3" s="5">
        <v>4</v>
      </c>
      <c r="H3" s="5">
        <f t="shared" ref="H3:H10" si="4">SQRT(G3)</f>
        <v>2</v>
      </c>
      <c r="I3" s="5">
        <v>-4</v>
      </c>
      <c r="J3" s="5">
        <f t="shared" ref="J3:J10" si="5">ABS(I3)</f>
        <v>4</v>
      </c>
    </row>
    <row r="4" spans="1:10" x14ac:dyDescent="0.35">
      <c r="A4" s="5">
        <v>5.5</v>
      </c>
      <c r="B4" s="5">
        <f t="shared" si="0"/>
        <v>5</v>
      </c>
      <c r="C4" s="5">
        <f t="shared" si="1"/>
        <v>6</v>
      </c>
      <c r="D4" s="5">
        <v>2</v>
      </c>
      <c r="E4" s="5">
        <f t="shared" si="2"/>
        <v>4</v>
      </c>
      <c r="F4" s="5">
        <f t="shared" si="3"/>
        <v>4</v>
      </c>
      <c r="G4" s="5">
        <v>16</v>
      </c>
      <c r="H4" s="5">
        <f t="shared" si="4"/>
        <v>4</v>
      </c>
      <c r="I4" s="5">
        <v>-16</v>
      </c>
      <c r="J4" s="5">
        <f t="shared" si="5"/>
        <v>16</v>
      </c>
    </row>
    <row r="5" spans="1:10" x14ac:dyDescent="0.35">
      <c r="A5" s="5">
        <v>2.8344999999999998</v>
      </c>
      <c r="B5" s="5">
        <f t="shared" si="0"/>
        <v>2</v>
      </c>
      <c r="C5" s="5">
        <f t="shared" si="1"/>
        <v>3</v>
      </c>
      <c r="D5" s="5">
        <v>8</v>
      </c>
      <c r="E5" s="5">
        <f t="shared" si="2"/>
        <v>64</v>
      </c>
      <c r="F5" s="5">
        <f t="shared" si="3"/>
        <v>64</v>
      </c>
      <c r="G5" s="5">
        <v>125</v>
      </c>
      <c r="H5" s="5">
        <f t="shared" si="4"/>
        <v>11.180339887498949</v>
      </c>
      <c r="I5" s="5">
        <v>-125</v>
      </c>
      <c r="J5" s="5">
        <f t="shared" si="5"/>
        <v>125</v>
      </c>
    </row>
    <row r="6" spans="1:10" x14ac:dyDescent="0.35">
      <c r="A6" s="5">
        <v>3.4319999999999999</v>
      </c>
      <c r="B6" s="5">
        <f t="shared" si="0"/>
        <v>3</v>
      </c>
      <c r="C6" s="5">
        <f t="shared" si="1"/>
        <v>3</v>
      </c>
      <c r="D6" s="5">
        <v>5</v>
      </c>
      <c r="E6" s="5">
        <f t="shared" si="2"/>
        <v>25</v>
      </c>
      <c r="F6" s="5">
        <f t="shared" si="3"/>
        <v>25</v>
      </c>
      <c r="G6" s="5">
        <v>625</v>
      </c>
      <c r="H6" s="5">
        <f t="shared" si="4"/>
        <v>25</v>
      </c>
      <c r="I6" s="5">
        <v>-625</v>
      </c>
      <c r="J6" s="5">
        <f t="shared" si="5"/>
        <v>625</v>
      </c>
    </row>
    <row r="7" spans="1:10" x14ac:dyDescent="0.35">
      <c r="A7" s="5">
        <v>5.5890000000000004</v>
      </c>
      <c r="B7" s="5">
        <f t="shared" si="0"/>
        <v>5</v>
      </c>
      <c r="C7" s="5">
        <f t="shared" si="1"/>
        <v>6</v>
      </c>
      <c r="D7" s="5">
        <v>9</v>
      </c>
      <c r="E7" s="5">
        <f t="shared" si="2"/>
        <v>81</v>
      </c>
      <c r="F7" s="5">
        <f t="shared" si="3"/>
        <v>81</v>
      </c>
      <c r="G7" s="5">
        <v>81</v>
      </c>
      <c r="H7" s="5">
        <f t="shared" si="4"/>
        <v>9</v>
      </c>
      <c r="I7" s="5">
        <v>-81</v>
      </c>
      <c r="J7" s="5">
        <f t="shared" si="5"/>
        <v>81</v>
      </c>
    </row>
    <row r="8" spans="1:10" x14ac:dyDescent="0.35">
      <c r="A8" s="5">
        <v>6.3449999999999998</v>
      </c>
      <c r="B8" s="5">
        <f t="shared" si="0"/>
        <v>6</v>
      </c>
      <c r="C8" s="5">
        <f t="shared" si="1"/>
        <v>6</v>
      </c>
      <c r="D8" s="5">
        <v>2</v>
      </c>
      <c r="E8" s="5">
        <f t="shared" si="2"/>
        <v>4</v>
      </c>
      <c r="F8" s="5">
        <f t="shared" si="3"/>
        <v>4</v>
      </c>
      <c r="G8" s="5">
        <v>36</v>
      </c>
      <c r="H8" s="5">
        <f t="shared" si="4"/>
        <v>6</v>
      </c>
      <c r="I8" s="5">
        <v>-36</v>
      </c>
      <c r="J8" s="5">
        <f t="shared" si="5"/>
        <v>36</v>
      </c>
    </row>
    <row r="9" spans="1:10" x14ac:dyDescent="0.35">
      <c r="A9" s="5">
        <v>2.8</v>
      </c>
      <c r="B9" s="5">
        <f t="shared" si="0"/>
        <v>2</v>
      </c>
      <c r="C9" s="5">
        <f t="shared" si="1"/>
        <v>3</v>
      </c>
      <c r="D9" s="5">
        <v>7</v>
      </c>
      <c r="E9" s="5">
        <f t="shared" si="2"/>
        <v>49</v>
      </c>
      <c r="F9" s="5">
        <f t="shared" si="3"/>
        <v>49</v>
      </c>
      <c r="G9" s="5">
        <v>49</v>
      </c>
      <c r="H9" s="5">
        <f t="shared" si="4"/>
        <v>7</v>
      </c>
      <c r="I9" s="5">
        <v>-49</v>
      </c>
      <c r="J9" s="5">
        <f t="shared" si="5"/>
        <v>49</v>
      </c>
    </row>
    <row r="10" spans="1:10" x14ac:dyDescent="0.35">
      <c r="A10" s="5">
        <v>5.2</v>
      </c>
      <c r="B10" s="5">
        <f t="shared" si="0"/>
        <v>5</v>
      </c>
      <c r="C10" s="5">
        <f t="shared" si="1"/>
        <v>5</v>
      </c>
      <c r="D10" s="5">
        <v>6</v>
      </c>
      <c r="E10" s="5">
        <f t="shared" si="2"/>
        <v>36</v>
      </c>
      <c r="F10" s="5">
        <f t="shared" si="3"/>
        <v>36</v>
      </c>
      <c r="G10" s="5">
        <v>100</v>
      </c>
      <c r="H10" s="5">
        <f t="shared" si="4"/>
        <v>10</v>
      </c>
      <c r="I10" s="5">
        <v>-345</v>
      </c>
      <c r="J10" s="5">
        <f t="shared" si="5"/>
        <v>345</v>
      </c>
    </row>
    <row r="11" spans="1:10" x14ac:dyDescent="0.35">
      <c r="A11" s="13" t="s">
        <v>135</v>
      </c>
      <c r="B11" s="5" t="str">
        <f ca="1">_xlfn.FORMULATEXT(B2)</f>
        <v>=INT(A2)</v>
      </c>
      <c r="C11" s="5" t="str">
        <f t="shared" ref="C11:J11" ca="1" si="6">_xlfn.FORMULATEXT(C2)</f>
        <v>=ROUND(A2,0)</v>
      </c>
      <c r="D11" s="5"/>
      <c r="E11" s="5" t="str">
        <f t="shared" ca="1" si="6"/>
        <v>=POWER(D2,2)</v>
      </c>
      <c r="F11" s="5" t="str">
        <f t="shared" ca="1" si="6"/>
        <v>=D2^2</v>
      </c>
      <c r="G11" s="5"/>
      <c r="H11" s="5" t="str">
        <f t="shared" ca="1" si="6"/>
        <v>=SQRT(G2)</v>
      </c>
      <c r="I11" s="5"/>
      <c r="J11" s="5" t="str">
        <f t="shared" ca="1" si="6"/>
        <v>=ABS(I2)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IFS Functions</vt:lpstr>
      <vt:lpstr>Text </vt:lpstr>
      <vt:lpstr>Math</vt:lpstr>
      <vt:lpstr>basic_sal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Singh, Ankita {PEP}</cp:lastModifiedBy>
  <dcterms:created xsi:type="dcterms:W3CDTF">2022-05-04T15:22:08Z</dcterms:created>
  <dcterms:modified xsi:type="dcterms:W3CDTF">2025-11-08T12:41:35Z</dcterms:modified>
</cp:coreProperties>
</file>