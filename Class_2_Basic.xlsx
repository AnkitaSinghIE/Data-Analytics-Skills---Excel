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pepsico-my.sharepoint.com/personal/ankita_singh1_pepsico_com/Documents/Desktop/pp/Notes/DA_S/Data Analytics Skill Up/Materials/Excel/Materials/"/>
    </mc:Choice>
  </mc:AlternateContent>
  <xr:revisionPtr revIDLastSave="662" documentId="13_ncr:1_{9FD84437-2448-4D3F-84A1-0AA8BBABECC8}" xr6:coauthVersionLast="47" xr6:coauthVersionMax="47" xr10:uidLastSave="{E8C33244-374C-4406-AD61-AA4A852637A3}"/>
  <bookViews>
    <workbookView xWindow="-110" yWindow="-110" windowWidth="19420" windowHeight="11500" tabRatio="955" xr2:uid="{804A284F-30AB-4AA4-80D9-3863464D9C5B}"/>
  </bookViews>
  <sheets>
    <sheet name="Date &amp; Time" sheetId="11" r:id="rId1"/>
    <sheet name="Information" sheetId="12" r:id="rId2"/>
  </sheets>
  <definedNames>
    <definedName name="basic_sa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1" l="1"/>
  <c r="D6" i="11"/>
  <c r="G2" i="12"/>
  <c r="I3" i="12"/>
  <c r="H3" i="12"/>
  <c r="G3" i="12"/>
  <c r="F3" i="12"/>
  <c r="E3" i="12"/>
  <c r="D3" i="12"/>
  <c r="C3" i="12"/>
  <c r="B3" i="12"/>
  <c r="E29" i="11"/>
  <c r="E28" i="11"/>
  <c r="E27" i="11"/>
  <c r="E26" i="11"/>
  <c r="E25" i="11"/>
  <c r="E24" i="11"/>
  <c r="C28" i="11"/>
  <c r="C27" i="11"/>
  <c r="C24" i="11"/>
  <c r="C23" i="11"/>
  <c r="K15" i="11"/>
  <c r="J15" i="11"/>
  <c r="I12" i="11"/>
  <c r="J12" i="11"/>
  <c r="K9" i="11"/>
  <c r="K6" i="11"/>
  <c r="K3" i="11"/>
  <c r="J3" i="11"/>
  <c r="I3" i="11"/>
  <c r="F4" i="11"/>
  <c r="F8" i="11"/>
  <c r="F9" i="11"/>
  <c r="F10" i="11"/>
  <c r="F11" i="11"/>
  <c r="F7" i="11"/>
  <c r="C18" i="11"/>
  <c r="C15" i="11"/>
  <c r="C17" i="11"/>
  <c r="C16" i="11"/>
  <c r="C14" i="11"/>
  <c r="C13" i="11"/>
  <c r="C5" i="11"/>
  <c r="C11" i="11"/>
  <c r="C10" i="11"/>
  <c r="C9" i="11"/>
  <c r="C4" i="11"/>
  <c r="C4" i="12"/>
  <c r="D4" i="12"/>
  <c r="F4" i="12"/>
  <c r="G4" i="12"/>
  <c r="I4" i="12"/>
  <c r="E4" i="12"/>
  <c r="H4" i="12"/>
  <c r="B4" i="12"/>
  <c r="F29" i="11"/>
  <c r="F27" i="11"/>
  <c r="F26" i="11"/>
  <c r="F24" i="11"/>
  <c r="F28" i="11"/>
  <c r="F25" i="11"/>
  <c r="D28" i="11"/>
  <c r="D27" i="11"/>
  <c r="D24" i="11"/>
  <c r="D23" i="11"/>
  <c r="K16" i="11"/>
  <c r="J16" i="11"/>
  <c r="J13" i="11"/>
  <c r="I13" i="11"/>
  <c r="K10" i="11"/>
  <c r="K7" i="11"/>
  <c r="K4" i="11"/>
  <c r="J4" i="11"/>
  <c r="I4" i="11"/>
  <c r="G4" i="11"/>
  <c r="G8" i="11"/>
  <c r="G9" i="11"/>
  <c r="G11" i="11"/>
  <c r="G10" i="11"/>
  <c r="G7" i="11"/>
  <c r="D14" i="11"/>
  <c r="D15" i="11"/>
  <c r="D16" i="11"/>
  <c r="D18" i="11"/>
  <c r="D17" i="11"/>
  <c r="D13" i="11"/>
  <c r="D5" i="11"/>
  <c r="D11" i="11"/>
  <c r="D10" i="11"/>
  <c r="D9" i="11"/>
  <c r="D4" i="11"/>
</calcChain>
</file>

<file path=xl/sharedStrings.xml><?xml version="1.0" encoding="utf-8"?>
<sst xmlns="http://schemas.openxmlformats.org/spreadsheetml/2006/main" count="79" uniqueCount="54">
  <si>
    <t>CTRL+;</t>
  </si>
  <si>
    <t>CTRL+SHIFT+:</t>
  </si>
  <si>
    <t>TODAY</t>
  </si>
  <si>
    <t>NOW</t>
  </si>
  <si>
    <t>NOW-TODAY</t>
  </si>
  <si>
    <t>TIME</t>
  </si>
  <si>
    <t>DATE</t>
  </si>
  <si>
    <t>HOUR</t>
  </si>
  <si>
    <t>MINUTES</t>
  </si>
  <si>
    <t>SECOND</t>
  </si>
  <si>
    <t>ISTEXT</t>
  </si>
  <si>
    <t>ISNUMBER</t>
  </si>
  <si>
    <t>ISEVEN</t>
  </si>
  <si>
    <t>ISODD</t>
  </si>
  <si>
    <t>ISNONTEXT</t>
  </si>
  <si>
    <t>ISFORMULA</t>
  </si>
  <si>
    <t>ISLOGICAL</t>
  </si>
  <si>
    <t>Weekday</t>
  </si>
  <si>
    <t>Weeknum</t>
  </si>
  <si>
    <t>Date</t>
  </si>
  <si>
    <t>Month</t>
  </si>
  <si>
    <t>Year</t>
  </si>
  <si>
    <t>Day</t>
  </si>
  <si>
    <t>Day name</t>
  </si>
  <si>
    <t>Day name(short)</t>
  </si>
  <si>
    <t>Month name</t>
  </si>
  <si>
    <t>Day number</t>
  </si>
  <si>
    <t>Month number</t>
  </si>
  <si>
    <t>Month name(short)</t>
  </si>
  <si>
    <t>Text Data</t>
  </si>
  <si>
    <t>NetworkDays</t>
  </si>
  <si>
    <t>Start Date</t>
  </si>
  <si>
    <t>End Date</t>
  </si>
  <si>
    <t>NetworkDays.INTL</t>
  </si>
  <si>
    <t>Holidays</t>
  </si>
  <si>
    <t>Day Names</t>
  </si>
  <si>
    <t>Days</t>
  </si>
  <si>
    <t>Project start date</t>
  </si>
  <si>
    <t>Days to complete</t>
  </si>
  <si>
    <t>Date of joining</t>
  </si>
  <si>
    <t xml:space="preserve">months </t>
  </si>
  <si>
    <t>Contract end Date (Edate)</t>
  </si>
  <si>
    <t>Contract end Date for the full month (Eomonth)</t>
  </si>
  <si>
    <t>ISBLANK</t>
  </si>
  <si>
    <t>hello</t>
  </si>
  <si>
    <t>which date should the project end? (considering different weekend and holidays)</t>
  </si>
  <si>
    <t>DATEDIF Function</t>
  </si>
  <si>
    <t>Formulas</t>
  </si>
  <si>
    <t>Values</t>
  </si>
  <si>
    <t>which date should the project end? (considering weekend) workday</t>
  </si>
  <si>
    <t>Formula</t>
  </si>
  <si>
    <t>Start date</t>
  </si>
  <si>
    <t>DATEDIF Values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</si>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</sst>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6" formatCode="[$-14009]hh:mm:ss;@"/>
    <numFmt numFmtId="168" formatCode="[$-10409]hh:mm:ss\ AM/PM;@"/>
  </numFmts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0" xfId="0" applyAlignment="1">
      <alignment horizontal="center"/>
    </xf>
    <xf numFmtId="14" fontId="0" fillId="0" borderId="1" xfId="0" applyNumberFormat="1" applyBorder="1"/>
    <xf numFmtId="14" fontId="0" fillId="3" borderId="1" xfId="0" applyNumberFormat="1" applyFill="1" applyBorder="1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22" fontId="0" fillId="0" borderId="1" xfId="0" applyNumberFormat="1" applyBorder="1"/>
    <xf numFmtId="0" fontId="0" fillId="2" borderId="1" xfId="0" applyFill="1" applyBorder="1" applyAlignment="1">
      <alignment horizontal="center"/>
    </xf>
    <xf numFmtId="0" fontId="0" fillId="0" borderId="4" xfId="0" applyBorder="1"/>
    <xf numFmtId="0" fontId="0" fillId="0" borderId="3" xfId="0" applyBorder="1"/>
    <xf numFmtId="14" fontId="0" fillId="0" borderId="3" xfId="0" applyNumberFormat="1" applyBorder="1"/>
    <xf numFmtId="20" fontId="0" fillId="0" borderId="1" xfId="0" applyNumberFormat="1" applyBorder="1"/>
    <xf numFmtId="0" fontId="0" fillId="5" borderId="1" xfId="0" applyFill="1" applyBorder="1"/>
    <xf numFmtId="0" fontId="0" fillId="6" borderId="1" xfId="0" applyFill="1" applyBorder="1"/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5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3" xfId="0" applyNumberFormat="1" applyBorder="1" applyAlignment="1">
      <alignment horizontal="left"/>
    </xf>
    <xf numFmtId="0" fontId="0" fillId="5" borderId="1" xfId="0" applyFill="1" applyBorder="1" applyAlignment="1">
      <alignment horizontal="left"/>
    </xf>
    <xf numFmtId="168" fontId="0" fillId="0" borderId="1" xfId="0" applyNumberFormat="1" applyBorder="1" applyAlignment="1">
      <alignment horizontal="left"/>
    </xf>
    <xf numFmtId="166" fontId="0" fillId="5" borderId="1" xfId="0" applyNumberFormat="1" applyFill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6" borderId="0" xfId="0" applyFill="1"/>
    <xf numFmtId="0" fontId="0" fillId="0" borderId="6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16</xdr:row>
      <xdr:rowOff>4011</xdr:rowOff>
    </xdr:from>
    <xdr:to>
      <xdr:col>11</xdr:col>
      <xdr:colOff>8021</xdr:colOff>
      <xdr:row>20</xdr:row>
      <xdr:rowOff>176463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9677C3E-7625-7E4F-DA98-09867E977944}"/>
            </a:ext>
          </a:extLst>
        </xdr:cNvPr>
        <xdr:cNvSpPr txBox="1"/>
      </xdr:nvSpPr>
      <xdr:spPr>
        <a:xfrm>
          <a:off x="8794409" y="2953688"/>
          <a:ext cx="7259311" cy="909872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Network Days: Working Days (Sat and Sun are considered weekoff)</a:t>
          </a:r>
        </a:p>
        <a:p>
          <a:r>
            <a:rPr lang="en-IN" sz="1100"/>
            <a:t>Networkdays.intl:</a:t>
          </a:r>
          <a:r>
            <a:rPr lang="en-IN" sz="1100" baseline="0"/>
            <a:t> Working Days (set the weekoff manually)</a:t>
          </a:r>
          <a:endParaRPr lang="en-IN" sz="1100"/>
        </a:p>
      </xdr:txBody>
    </xdr:sp>
    <xdr:clientData/>
  </xdr:twoCellAnchor>
  <xdr:twoCellAnchor>
    <xdr:from>
      <xdr:col>11</xdr:col>
      <xdr:colOff>713874</xdr:colOff>
      <xdr:row>1</xdr:row>
      <xdr:rowOff>176463</xdr:rowOff>
    </xdr:from>
    <xdr:to>
      <xdr:col>13</xdr:col>
      <xdr:colOff>0</xdr:colOff>
      <xdr:row>8</xdr:row>
      <xdr:rowOff>12032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61B0BAB-B5FA-0775-E6B9-0A63731468FF}"/>
            </a:ext>
          </a:extLst>
        </xdr:cNvPr>
        <xdr:cNvSpPr txBox="1"/>
      </xdr:nvSpPr>
      <xdr:spPr>
        <a:xfrm>
          <a:off x="11145253" y="176463"/>
          <a:ext cx="1163052" cy="1126958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For extracting h, m and s the number format needs to be in general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5E817-D8B3-476C-80D6-0F216A09C9A3}">
  <sheetPr codeName="Sheet12"/>
  <dimension ref="B1:K37"/>
  <sheetViews>
    <sheetView tabSelected="1" topLeftCell="B1" zoomScale="93" zoomScaleNormal="93" workbookViewId="0">
      <selection activeCell="C6" sqref="C6"/>
    </sheetView>
  </sheetViews>
  <sheetFormatPr defaultRowHeight="14.5" x14ac:dyDescent="0.35"/>
  <cols>
    <col min="2" max="2" width="20.453125" customWidth="1"/>
    <col min="3" max="3" width="15.81640625" bestFit="1" customWidth="1"/>
    <col min="4" max="4" width="30.36328125" customWidth="1"/>
    <col min="5" max="5" width="16.90625" customWidth="1"/>
    <col min="6" max="6" width="23.26953125" customWidth="1"/>
    <col min="7" max="7" width="22.6328125" customWidth="1"/>
    <col min="8" max="8" width="22.81640625" customWidth="1"/>
    <col min="9" max="9" width="17.7265625" customWidth="1"/>
    <col min="10" max="10" width="29.26953125" customWidth="1"/>
    <col min="11" max="11" width="34.08984375" customWidth="1"/>
    <col min="12" max="12" width="10.453125" bestFit="1" customWidth="1"/>
    <col min="13" max="13" width="16.90625" customWidth="1"/>
    <col min="14" max="14" width="20.90625" customWidth="1"/>
  </cols>
  <sheetData>
    <row r="1" spans="2:11" x14ac:dyDescent="0.35">
      <c r="B1" s="2"/>
      <c r="C1" s="15" t="s">
        <v>48</v>
      </c>
      <c r="D1" s="14" t="s">
        <v>47</v>
      </c>
      <c r="H1" s="24"/>
      <c r="I1" s="24"/>
      <c r="J1" s="24"/>
      <c r="K1" s="24"/>
    </row>
    <row r="2" spans="2:11" x14ac:dyDescent="0.35">
      <c r="B2" s="2" t="s">
        <v>6</v>
      </c>
      <c r="C2" s="4">
        <v>45971</v>
      </c>
      <c r="D2" s="2" t="s">
        <v>0</v>
      </c>
      <c r="E2" s="11" t="s">
        <v>31</v>
      </c>
      <c r="F2" s="2" t="s">
        <v>32</v>
      </c>
      <c r="G2" s="22" t="s">
        <v>50</v>
      </c>
      <c r="H2" s="25" t="s">
        <v>5</v>
      </c>
      <c r="I2" s="26" t="s">
        <v>7</v>
      </c>
      <c r="J2" s="26" t="s">
        <v>8</v>
      </c>
      <c r="K2" s="26" t="s">
        <v>9</v>
      </c>
    </row>
    <row r="3" spans="2:11" x14ac:dyDescent="0.35">
      <c r="B3" s="2" t="s">
        <v>5</v>
      </c>
      <c r="C3" s="13">
        <v>0.79861111111111116</v>
      </c>
      <c r="D3" s="2" t="s">
        <v>1</v>
      </c>
      <c r="E3" s="12">
        <v>45325</v>
      </c>
      <c r="F3" s="4">
        <v>45546</v>
      </c>
      <c r="G3" s="23"/>
      <c r="H3" s="27">
        <v>0.35023148148148148</v>
      </c>
      <c r="I3" s="26">
        <f>HOUR(H3)</f>
        <v>8</v>
      </c>
      <c r="J3" s="26">
        <f>MINUTE(H3)</f>
        <v>24</v>
      </c>
      <c r="K3" s="26">
        <f>SECOND(H3)</f>
        <v>20</v>
      </c>
    </row>
    <row r="4" spans="2:11" x14ac:dyDescent="0.35">
      <c r="B4" s="2" t="s">
        <v>2</v>
      </c>
      <c r="C4" s="4">
        <f ca="1">TODAY()</f>
        <v>45972</v>
      </c>
      <c r="D4" s="4" t="str">
        <f ca="1">_xlfn.FORMULATEXT(C4)</f>
        <v>=TODAY()</v>
      </c>
      <c r="E4" s="11" t="s">
        <v>36</v>
      </c>
      <c r="F4" s="2">
        <f>_xlfn.DAYS(F3,E3)</f>
        <v>221</v>
      </c>
      <c r="G4" s="2" t="str">
        <f ca="1">_xlfn.FORMULATEXT(F4)</f>
        <v>=DAYS(F3,E3)</v>
      </c>
      <c r="H4" s="28" t="s">
        <v>47</v>
      </c>
      <c r="I4" s="26" t="str">
        <f ca="1">_xlfn.FORMULATEXT(I3)</f>
        <v>=HOUR(H3)</v>
      </c>
      <c r="J4" s="26" t="str">
        <f ca="1">_xlfn.FORMULATEXT(J3)</f>
        <v>=MINUTE(H3)</v>
      </c>
      <c r="K4" s="26" t="str">
        <f ca="1">_xlfn.FORMULATEXT(K3)</f>
        <v>=SECOND(H3)</v>
      </c>
    </row>
    <row r="5" spans="2:11" x14ac:dyDescent="0.35">
      <c r="B5" s="2" t="s">
        <v>3</v>
      </c>
      <c r="C5" s="8">
        <f ca="1">NOW()</f>
        <v>45972.685664814817</v>
      </c>
      <c r="D5" s="4" t="str">
        <f t="shared" ref="D5" ca="1" si="0">_xlfn.FORMULATEXT(C5)</f>
        <v>=NOW()</v>
      </c>
      <c r="H5" s="26" t="s">
        <v>7</v>
      </c>
      <c r="I5" s="26" t="s">
        <v>8</v>
      </c>
      <c r="J5" s="26" t="s">
        <v>9</v>
      </c>
      <c r="K5" s="26" t="s">
        <v>5</v>
      </c>
    </row>
    <row r="6" spans="2:11" x14ac:dyDescent="0.35">
      <c r="B6" s="2" t="s">
        <v>4</v>
      </c>
      <c r="C6" s="2">
        <f ca="1">NOW()-TODAY()</f>
        <v>0.68566469907091232</v>
      </c>
      <c r="D6" s="4" t="str">
        <f ca="1">_xlfn.FORMULATEXT(C6)</f>
        <v>=NOW()-TODAY()</v>
      </c>
      <c r="E6" s="11" t="s">
        <v>34</v>
      </c>
      <c r="F6" s="2" t="s">
        <v>35</v>
      </c>
      <c r="G6" s="21" t="s">
        <v>47</v>
      </c>
      <c r="H6" s="25">
        <v>14</v>
      </c>
      <c r="I6" s="26">
        <v>40</v>
      </c>
      <c r="J6" s="26">
        <v>5</v>
      </c>
      <c r="K6" s="29">
        <f>TIME(H6,I6,J6)</f>
        <v>0.61116898148148147</v>
      </c>
    </row>
    <row r="7" spans="2:11" x14ac:dyDescent="0.35">
      <c r="E7" s="4">
        <v>45355</v>
      </c>
      <c r="F7" s="2" t="str">
        <f>TEXT(E7,"dddd")</f>
        <v>Monday</v>
      </c>
      <c r="G7" s="2" t="str">
        <f ca="1">_xlfn.FORMULATEXT(F7)</f>
        <v>=TEXT(E7,"dddd")</v>
      </c>
      <c r="H7" s="26"/>
      <c r="I7" s="26"/>
      <c r="J7" s="30" t="s">
        <v>50</v>
      </c>
      <c r="K7" s="26" t="str">
        <f ca="1">_xlfn.FORMULATEXT(K6)</f>
        <v>=TIME(H6,I6,J6)</v>
      </c>
    </row>
    <row r="8" spans="2:11" x14ac:dyDescent="0.35">
      <c r="B8" s="5">
        <v>45549</v>
      </c>
      <c r="C8" s="15" t="s">
        <v>48</v>
      </c>
      <c r="D8" s="14" t="s">
        <v>47</v>
      </c>
      <c r="E8" s="4">
        <v>45423</v>
      </c>
      <c r="F8" s="2" t="str">
        <f t="shared" ref="F8:F11" si="1">TEXT(E8,"dddd")</f>
        <v>Saturday</v>
      </c>
      <c r="G8" s="2" t="str">
        <f t="shared" ref="G8:G11" ca="1" si="2">_xlfn.FORMULATEXT(F8)</f>
        <v>=TEXT(E8,"dddd")</v>
      </c>
      <c r="H8" s="25" t="s">
        <v>22</v>
      </c>
      <c r="I8" s="26" t="s">
        <v>20</v>
      </c>
      <c r="J8" s="26" t="s">
        <v>21</v>
      </c>
      <c r="K8" s="26" t="s">
        <v>19</v>
      </c>
    </row>
    <row r="9" spans="2:11" x14ac:dyDescent="0.35">
      <c r="B9" s="2" t="s">
        <v>22</v>
      </c>
      <c r="C9" s="2">
        <f>DAY(B8)</f>
        <v>14</v>
      </c>
      <c r="D9" s="2" t="str">
        <f ca="1">_xlfn.FORMULATEXT(C9)</f>
        <v>=DAY(B8)</v>
      </c>
      <c r="E9" s="4">
        <v>45519</v>
      </c>
      <c r="F9" s="2" t="str">
        <f t="shared" si="1"/>
        <v>Thursday</v>
      </c>
      <c r="G9" s="2" t="str">
        <f t="shared" ca="1" si="2"/>
        <v>=TEXT(E9,"dddd")</v>
      </c>
      <c r="H9" s="25">
        <v>2</v>
      </c>
      <c r="I9" s="26">
        <v>6</v>
      </c>
      <c r="J9" s="26">
        <v>2024</v>
      </c>
      <c r="K9" s="31">
        <f>DATE(J9,I9,H9)</f>
        <v>45445</v>
      </c>
    </row>
    <row r="10" spans="2:11" x14ac:dyDescent="0.35">
      <c r="B10" s="2" t="s">
        <v>20</v>
      </c>
      <c r="C10" s="2">
        <f>MONTH(B8)</f>
        <v>9</v>
      </c>
      <c r="D10" s="2" t="str">
        <f t="shared" ref="D10:D11" ca="1" si="3">_xlfn.FORMULATEXT(C10)</f>
        <v>=MONTH(B8)</v>
      </c>
      <c r="E10" s="4">
        <v>45524</v>
      </c>
      <c r="F10" s="2" t="str">
        <f t="shared" si="1"/>
        <v>Tuesday</v>
      </c>
      <c r="G10" s="2" t="str">
        <f t="shared" ca="1" si="2"/>
        <v>=TEXT(E10,"dddd")</v>
      </c>
      <c r="H10" s="26"/>
      <c r="I10" s="26"/>
      <c r="J10" s="28" t="s">
        <v>50</v>
      </c>
      <c r="K10" s="26" t="str">
        <f ca="1">_xlfn.FORMULATEXT(K9)</f>
        <v>=DATE(J9,I9,H9)</v>
      </c>
    </row>
    <row r="11" spans="2:11" x14ac:dyDescent="0.35">
      <c r="B11" s="2" t="s">
        <v>21</v>
      </c>
      <c r="C11" s="2">
        <f>YEAR(B8)</f>
        <v>2024</v>
      </c>
      <c r="D11" s="2" t="str">
        <f t="shared" ca="1" si="3"/>
        <v>=YEAR(B8)</v>
      </c>
      <c r="E11" s="4">
        <v>45541</v>
      </c>
      <c r="F11" s="2" t="str">
        <f t="shared" si="1"/>
        <v>Friday</v>
      </c>
      <c r="G11" s="2" t="str">
        <f t="shared" ca="1" si="2"/>
        <v>=TEXT(E11,"dddd")</v>
      </c>
      <c r="H11" s="32" t="s">
        <v>6</v>
      </c>
      <c r="I11" s="33" t="s">
        <v>17</v>
      </c>
      <c r="J11" s="33" t="s">
        <v>18</v>
      </c>
      <c r="K11" s="24"/>
    </row>
    <row r="12" spans="2:11" x14ac:dyDescent="0.35">
      <c r="B12" s="16" t="s">
        <v>29</v>
      </c>
      <c r="C12" s="17"/>
      <c r="H12" s="31">
        <v>45445</v>
      </c>
      <c r="I12" s="26">
        <f>WEEKDAY(H12,1)</f>
        <v>1</v>
      </c>
      <c r="J12" s="26">
        <f>WEEKNUM(H12,1)</f>
        <v>23</v>
      </c>
      <c r="K12" s="24"/>
    </row>
    <row r="13" spans="2:11" x14ac:dyDescent="0.35">
      <c r="B13" s="2" t="s">
        <v>23</v>
      </c>
      <c r="C13" s="2" t="str">
        <f>TEXT(B7,"dddd")</f>
        <v>Saturday</v>
      </c>
      <c r="D13" s="2" t="str">
        <f ca="1">_xlfn.FORMULATEXT(C13)</f>
        <v>=TEXT(B7,"dddd")</v>
      </c>
      <c r="H13" s="28" t="s">
        <v>47</v>
      </c>
      <c r="I13" s="26" t="str">
        <f ca="1">_xlfn.FORMULATEXT(I12)</f>
        <v>=WEEKDAY(H12,1)</v>
      </c>
      <c r="J13" s="26" t="str">
        <f ca="1">_xlfn.FORMULATEXT(J12)</f>
        <v>=WEEKNUM(H12,1)</v>
      </c>
      <c r="K13" s="24"/>
    </row>
    <row r="14" spans="2:11" x14ac:dyDescent="0.35">
      <c r="B14" s="2" t="s">
        <v>24</v>
      </c>
      <c r="C14" s="2" t="str">
        <f>TEXT(B8,"ddd")</f>
        <v>Sat</v>
      </c>
      <c r="D14" s="2" t="str">
        <f t="shared" ref="D14:D18" ca="1" si="4">_xlfn.FORMULATEXT(C14)</f>
        <v>=TEXT(B8,"ddd")</v>
      </c>
      <c r="H14" s="26" t="s">
        <v>31</v>
      </c>
      <c r="I14" s="26" t="s">
        <v>32</v>
      </c>
      <c r="J14" s="26" t="s">
        <v>30</v>
      </c>
      <c r="K14" s="26" t="s">
        <v>33</v>
      </c>
    </row>
    <row r="15" spans="2:11" x14ac:dyDescent="0.35">
      <c r="B15" s="2" t="s">
        <v>26</v>
      </c>
      <c r="C15" s="2" t="str">
        <f>TEXT(B8,"dd")</f>
        <v>14</v>
      </c>
      <c r="D15" s="2" t="str">
        <f t="shared" ca="1" si="4"/>
        <v>=TEXT(B8,"dd")</v>
      </c>
      <c r="H15" s="31">
        <v>45325</v>
      </c>
      <c r="I15" s="31">
        <v>45545</v>
      </c>
      <c r="J15" s="26">
        <f>NETWORKDAYS(H15,I15,E7:E11)</f>
        <v>153</v>
      </c>
      <c r="K15" s="26">
        <f>NETWORKDAYS.INTL(H15,I15,4,E7:E11)</f>
        <v>154</v>
      </c>
    </row>
    <row r="16" spans="2:11" x14ac:dyDescent="0.35">
      <c r="B16" s="2" t="s">
        <v>25</v>
      </c>
      <c r="C16" s="2" t="str">
        <f>TEXT(B8,"mmmm")</f>
        <v>September</v>
      </c>
      <c r="D16" s="2" t="str">
        <f t="shared" ca="1" si="4"/>
        <v>=TEXT(B8,"mmmm")</v>
      </c>
      <c r="E16" s="19" t="s">
        <v>46</v>
      </c>
      <c r="F16" s="18"/>
      <c r="H16" s="24"/>
      <c r="I16" s="28" t="s">
        <v>47</v>
      </c>
      <c r="J16" s="24" t="str">
        <f ca="1">_xlfn.FORMULATEXT(J15)</f>
        <v>=NETWORKDAYS(H15,I15,E7:E11)</v>
      </c>
      <c r="K16" s="24" t="str">
        <f ca="1">_xlfn.FORMULATEXT(K15)</f>
        <v>=NETWORKDAYS.INTL(H15,I15,4,E7:E11)</v>
      </c>
    </row>
    <row r="17" spans="2:7" x14ac:dyDescent="0.35">
      <c r="B17" s="2" t="s">
        <v>28</v>
      </c>
      <c r="C17" s="2" t="str">
        <f>TEXT(B8,"mmm")</f>
        <v>Sep</v>
      </c>
      <c r="D17" s="2" t="str">
        <f t="shared" ca="1" si="4"/>
        <v>=TEXT(B8,"mmm")</v>
      </c>
      <c r="E17" s="19"/>
      <c r="F17" s="18"/>
    </row>
    <row r="18" spans="2:7" x14ac:dyDescent="0.35">
      <c r="B18" s="2" t="s">
        <v>27</v>
      </c>
      <c r="C18" s="2" t="str">
        <f>TEXT(B8,"mm")</f>
        <v>09</v>
      </c>
      <c r="D18" s="2" t="str">
        <f t="shared" ca="1" si="4"/>
        <v>=TEXT(B8,"mm")</v>
      </c>
      <c r="E18" s="18"/>
      <c r="F18" s="18"/>
    </row>
    <row r="19" spans="2:7" x14ac:dyDescent="0.35">
      <c r="E19" s="39" t="s">
        <v>51</v>
      </c>
      <c r="F19" s="39" t="s">
        <v>32</v>
      </c>
    </row>
    <row r="20" spans="2:7" x14ac:dyDescent="0.35">
      <c r="E20" s="1">
        <v>43831</v>
      </c>
      <c r="F20" s="1">
        <v>44196</v>
      </c>
      <c r="G20" s="1"/>
    </row>
    <row r="21" spans="2:7" x14ac:dyDescent="0.35">
      <c r="B21" s="6" t="s">
        <v>37</v>
      </c>
      <c r="C21" s="6" t="s">
        <v>38</v>
      </c>
      <c r="D21" s="34" t="s">
        <v>47</v>
      </c>
      <c r="E21" s="1">
        <v>44166</v>
      </c>
      <c r="G21" s="1"/>
    </row>
    <row r="22" spans="2:7" x14ac:dyDescent="0.35">
      <c r="B22" s="7">
        <v>45292</v>
      </c>
      <c r="C22" s="6">
        <v>200</v>
      </c>
      <c r="D22" s="35"/>
      <c r="E22" s="1">
        <v>45292</v>
      </c>
      <c r="F22" s="1">
        <v>46063</v>
      </c>
    </row>
    <row r="23" spans="2:7" ht="58" x14ac:dyDescent="0.35">
      <c r="B23" s="6" t="s">
        <v>49</v>
      </c>
      <c r="C23" s="7">
        <f>WORKDAY(B22,C22,E7:E11)</f>
        <v>45576</v>
      </c>
      <c r="D23" t="str">
        <f ca="1">_xlfn.FORMULATEXT(C23)</f>
        <v>=WORKDAY(B22,C22,E7:E11)</v>
      </c>
      <c r="E23" t="s">
        <v>52</v>
      </c>
      <c r="F23" s="37" t="s">
        <v>47</v>
      </c>
    </row>
    <row r="24" spans="2:7" ht="58" x14ac:dyDescent="0.35">
      <c r="B24" s="6" t="s">
        <v>45</v>
      </c>
      <c r="C24" s="7">
        <f>WORKDAY.INTL(B22,C22,4,E7:E11)</f>
        <v>45578</v>
      </c>
      <c r="D24" s="10" t="str">
        <f ca="1">_xlfn.FORMULATEXT(C24)</f>
        <v>=WORKDAY.INTL(B22,C22,4,E7:E11)</v>
      </c>
      <c r="E24">
        <f>DATEDIF(E20,F20,"Y")</f>
        <v>0</v>
      </c>
      <c r="F24" s="38" t="str">
        <f ca="1">_xlfn.FORMULATEXT(E24)</f>
        <v>=DATEDIF(E20,F20,"Y")</v>
      </c>
    </row>
    <row r="25" spans="2:7" x14ac:dyDescent="0.35">
      <c r="B25" s="6" t="s">
        <v>39</v>
      </c>
      <c r="C25" s="6" t="s">
        <v>40</v>
      </c>
      <c r="D25" s="36" t="s">
        <v>47</v>
      </c>
      <c r="E25">
        <f>DATEDIF(E20,F20,"M")</f>
        <v>11</v>
      </c>
      <c r="F25" t="str">
        <f ca="1">_xlfn.FORMULATEXT(E25)</f>
        <v>=DATEDIF(E20,F20,"M")</v>
      </c>
    </row>
    <row r="26" spans="2:7" x14ac:dyDescent="0.35">
      <c r="B26" s="7">
        <v>45306</v>
      </c>
      <c r="C26" s="6">
        <v>1</v>
      </c>
      <c r="D26" s="36"/>
      <c r="E26">
        <f>DATEDIF(E21,F20,"D")</f>
        <v>30</v>
      </c>
      <c r="F26" t="str">
        <f ca="1">_xlfn.FORMULATEXT(E26)</f>
        <v>=DATEDIF(E21,F20,"D")</v>
      </c>
    </row>
    <row r="27" spans="2:7" ht="29" x14ac:dyDescent="0.35">
      <c r="B27" s="6" t="s">
        <v>41</v>
      </c>
      <c r="C27" s="7">
        <f>EDATE(B26,C26)</f>
        <v>45337</v>
      </c>
      <c r="D27" s="2" t="str">
        <f ca="1">_xlfn.FORMULATEXT(C27)</f>
        <v>=EDATE(B26,C26)</v>
      </c>
      <c r="E27">
        <f>DATEDIF(E22,F22,"YM")</f>
        <v>1</v>
      </c>
      <c r="F27" t="str">
        <f ca="1">_xlfn.FORMULATEXT(E27)</f>
        <v>=DATEDIF(E22,F22,"YM")</v>
      </c>
    </row>
    <row r="28" spans="2:7" ht="43.5" x14ac:dyDescent="0.35">
      <c r="B28" s="6" t="s">
        <v>42</v>
      </c>
      <c r="C28" s="4">
        <f>EOMONTH(B26,C26)</f>
        <v>45351</v>
      </c>
      <c r="D28" s="2" t="str">
        <f ca="1">_xlfn.FORMULATEXT(C28)</f>
        <v>=EOMONTH(B26,C26)</v>
      </c>
      <c r="E28">
        <f>DATEDIF(E22,F22,"MD")</f>
        <v>9</v>
      </c>
      <c r="F28" t="str">
        <f ca="1">_xlfn.FORMULATEXT(E28)</f>
        <v>=DATEDIF(E22,F22,"MD")</v>
      </c>
    </row>
    <row r="29" spans="2:7" x14ac:dyDescent="0.35">
      <c r="E29">
        <f>DATEDIF(E22,F22,"YD")</f>
        <v>40</v>
      </c>
      <c r="F29" t="str">
        <f ca="1">_xlfn.FORMULATEXT(E29)</f>
        <v>=DATEDIF(E22,F22,"YD")</v>
      </c>
    </row>
    <row r="36" spans="6:6" x14ac:dyDescent="0.35">
      <c r="F36" s="40"/>
    </row>
    <row r="37" spans="6:6" x14ac:dyDescent="0.35">
      <c r="F37" s="38"/>
    </row>
  </sheetData>
  <mergeCells count="5">
    <mergeCell ref="D25:D26"/>
    <mergeCell ref="B12:C12"/>
    <mergeCell ref="E16:F18"/>
    <mergeCell ref="G2:G3"/>
    <mergeCell ref="D21:D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F6658-1321-4651-B9AA-5EF92A283701}">
  <sheetPr codeName="Sheet14"/>
  <dimension ref="A1:J7"/>
  <sheetViews>
    <sheetView zoomScale="137" zoomScaleNormal="170" workbookViewId="0">
      <selection activeCell="D8" sqref="D8"/>
    </sheetView>
  </sheetViews>
  <sheetFormatPr defaultRowHeight="14.5" x14ac:dyDescent="0.35"/>
  <cols>
    <col min="1" max="1" width="8.7265625" style="3"/>
    <col min="2" max="2" width="11.36328125" style="3" customWidth="1"/>
    <col min="3" max="3" width="14.08984375" style="3" customWidth="1"/>
    <col min="4" max="4" width="13.54296875" style="3" customWidth="1"/>
    <col min="5" max="5" width="10.7265625" style="3" customWidth="1"/>
    <col min="6" max="6" width="10.08984375" style="3" customWidth="1"/>
    <col min="7" max="7" width="15" style="3" customWidth="1"/>
    <col min="8" max="8" width="14.36328125" style="3" customWidth="1"/>
    <col min="9" max="9" width="11.08984375" style="3" customWidth="1"/>
    <col min="10" max="16384" width="8.7265625" style="3"/>
  </cols>
  <sheetData>
    <row r="1" spans="1:10" x14ac:dyDescent="0.35">
      <c r="A1" s="20"/>
      <c r="B1" s="9" t="s">
        <v>10</v>
      </c>
      <c r="C1" s="9" t="s">
        <v>14</v>
      </c>
      <c r="D1" s="9" t="s">
        <v>11</v>
      </c>
      <c r="E1" s="9" t="s">
        <v>12</v>
      </c>
      <c r="F1" s="9" t="s">
        <v>13</v>
      </c>
      <c r="G1" s="9" t="s">
        <v>15</v>
      </c>
      <c r="H1" s="9" t="s">
        <v>16</v>
      </c>
      <c r="I1" s="9" t="s">
        <v>43</v>
      </c>
      <c r="J1" s="41"/>
    </row>
    <row r="2" spans="1:10" x14ac:dyDescent="0.35">
      <c r="A2" s="42" t="s">
        <v>53</v>
      </c>
      <c r="B2" s="20" t="s">
        <v>44</v>
      </c>
      <c r="C2" s="20" t="b">
        <v>1</v>
      </c>
      <c r="D2" s="20">
        <v>54</v>
      </c>
      <c r="E2" s="20">
        <v>33</v>
      </c>
      <c r="F2" s="20">
        <v>13</v>
      </c>
      <c r="G2" s="20">
        <f>SUM(D2,E2)</f>
        <v>87</v>
      </c>
      <c r="H2" s="43" t="b">
        <v>0</v>
      </c>
      <c r="I2" s="20"/>
      <c r="J2" s="41"/>
    </row>
    <row r="3" spans="1:10" x14ac:dyDescent="0.35">
      <c r="A3" s="44" t="s">
        <v>48</v>
      </c>
      <c r="B3" s="20" t="b">
        <f>ISTEXT(B2)</f>
        <v>1</v>
      </c>
      <c r="C3" s="20" t="b">
        <f>ISNONTEXT(C2)</f>
        <v>1</v>
      </c>
      <c r="D3" s="20" t="b">
        <f>ISNUMBER(D2)</f>
        <v>1</v>
      </c>
      <c r="E3" s="20" t="b">
        <f>ISEVEN(E2)</f>
        <v>0</v>
      </c>
      <c r="F3" s="20" t="b">
        <f>ISODD(F2)</f>
        <v>1</v>
      </c>
      <c r="G3" s="20" t="b">
        <f>_xlfn.ISFORMULA(G2)</f>
        <v>1</v>
      </c>
      <c r="H3" s="20" t="b">
        <f>ISLOGICAL(H2)</f>
        <v>1</v>
      </c>
      <c r="I3" s="20" t="b">
        <f>ISBLANK(I2)</f>
        <v>1</v>
      </c>
      <c r="J3" s="41"/>
    </row>
    <row r="4" spans="1:10" x14ac:dyDescent="0.35">
      <c r="A4" s="45" t="s">
        <v>50</v>
      </c>
      <c r="B4" s="20" t="str">
        <f ca="1">_xlfn.FORMULATEXT(B3)</f>
        <v>=ISTEXT(B2)</v>
      </c>
      <c r="C4" s="20" t="str">
        <f t="shared" ref="C4:I4" ca="1" si="0">_xlfn.FORMULATEXT(C3)</f>
        <v>=ISNONTEXT(C2)</v>
      </c>
      <c r="D4" s="20" t="str">
        <f t="shared" ca="1" si="0"/>
        <v>=ISNUMBER(D2)</v>
      </c>
      <c r="E4" s="20" t="str">
        <f t="shared" ca="1" si="0"/>
        <v>=ISEVEN(E2)</v>
      </c>
      <c r="F4" s="20" t="str">
        <f t="shared" ca="1" si="0"/>
        <v>=ISODD(F2)</v>
      </c>
      <c r="G4" s="20" t="str">
        <f t="shared" ca="1" si="0"/>
        <v>=ISFORMULA(G2)</v>
      </c>
      <c r="H4" s="20" t="str">
        <f t="shared" ca="1" si="0"/>
        <v>=ISLOGICAL(H2)</v>
      </c>
      <c r="I4" s="20" t="str">
        <f t="shared" ca="1" si="0"/>
        <v>=ISBLANK(I2)</v>
      </c>
    </row>
    <row r="7" spans="1:10" x14ac:dyDescent="0.35">
      <c r="B7" s="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Date &amp; Time</vt:lpstr>
      <vt:lpstr>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 Dubey</dc:creator>
  <cp:lastModifiedBy>Singh, Ankita {PEP}</cp:lastModifiedBy>
  <dcterms:created xsi:type="dcterms:W3CDTF">2022-05-04T15:22:08Z</dcterms:created>
  <dcterms:modified xsi:type="dcterms:W3CDTF">2025-11-11T10:57:21Z</dcterms:modified>
</cp:coreProperties>
</file>