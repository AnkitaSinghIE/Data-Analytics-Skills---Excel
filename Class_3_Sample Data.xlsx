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epsico-my.sharepoint.com/personal/ankita_singh1_pepsico_com/Documents/Desktop/pp/Notes/DA_S/Data Analytics Skill Up/Excel Class Data and notes/"/>
    </mc:Choice>
  </mc:AlternateContent>
  <xr:revisionPtr revIDLastSave="385" documentId="13_ncr:1_{50F80E5E-085B-41E2-97FF-78F78894BDF3}" xr6:coauthVersionLast="47" xr6:coauthVersionMax="47" xr10:uidLastSave="{EF1B11E0-02E3-4341-B102-AF01B222E414}"/>
  <bookViews>
    <workbookView xWindow="-110" yWindow="-110" windowWidth="19420" windowHeight="11500" activeTab="1" xr2:uid="{00000000-000D-0000-FFFF-FFFF00000000}"/>
  </bookViews>
  <sheets>
    <sheet name="Logical functions" sheetId="1" r:id="rId1"/>
    <sheet name="Conditional Formatting" sheetId="3" r:id="rId2"/>
  </sheets>
  <definedNames>
    <definedName name="_xlnm._FilterDatabase" localSheetId="0" hidden="1">'Logical functions'!$A$1:$Q$21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P2" i="1"/>
  <c r="O2" i="1" a="1"/>
  <c r="O2" i="1" s="1"/>
  <c r="N2" i="1"/>
  <c r="M2" i="1"/>
  <c r="K2" i="1"/>
  <c r="J3" i="1"/>
  <c r="J2" i="1"/>
  <c r="L2" i="1"/>
  <c r="I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O3" i="1" a="1"/>
  <c r="O3" i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/>
  <c r="O10" i="1" a="1"/>
  <c r="O10" i="1"/>
  <c r="O11" i="1" a="1"/>
  <c r="O11" i="1" s="1"/>
  <c r="O12" i="1" a="1"/>
  <c r="O12" i="1"/>
  <c r="O13" i="1" a="1"/>
  <c r="O13" i="1"/>
  <c r="O14" i="1" a="1"/>
  <c r="O14" i="1" s="1"/>
  <c r="O15" i="1" a="1"/>
  <c r="O15" i="1"/>
  <c r="O16" i="1" a="1"/>
  <c r="O16" i="1"/>
  <c r="O17" i="1" a="1"/>
  <c r="O17" i="1" s="1"/>
  <c r="O18" i="1" a="1"/>
  <c r="O18" i="1"/>
  <c r="O19" i="1" a="1"/>
  <c r="O19" i="1"/>
  <c r="O20" i="1" a="1"/>
  <c r="O20" i="1" s="1"/>
  <c r="O21" i="1" a="1"/>
  <c r="O21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<sst xmlns="http://schemas.openxmlformats.org/spreadsheetml/2006/main" count="281" uniqueCount="111">
  <si>
    <t>Emp Code</t>
  </si>
  <si>
    <t>Employee Name</t>
  </si>
  <si>
    <t>Address</t>
  </si>
  <si>
    <t>City</t>
  </si>
  <si>
    <t>Region</t>
  </si>
  <si>
    <t>Department</t>
  </si>
  <si>
    <t>Basic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</si>
  <si>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</si>
  <si>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</si>
  <si>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</si>
  <si>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</si>
  <si>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</si>
  <si>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</si>
  <si>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</si>
  <si>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</si>
  <si>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</si>
  <si>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</si>
  <si>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Priya Agarwal</t>
  </si>
  <si>
    <t>Sector 9</t>
  </si>
  <si>
    <t>Noida</t>
  </si>
  <si>
    <t>Marketing</t>
  </si>
  <si>
    <t>R Vasu</t>
  </si>
  <si>
    <t>Egmore</t>
  </si>
  <si>
    <t>Chennai</t>
  </si>
  <si>
    <t>S</t>
  </si>
  <si>
    <t>R&amp;D</t>
  </si>
  <si>
    <t>Sanjay Gupta</t>
  </si>
  <si>
    <t>G K - II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</si>
  <si>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</si>
  <si>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</si>
  <si>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</si>
  <si>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</si>
  <si>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</si>
  <si>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</si>
  <si>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</si>
  <si>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</si>
  <si>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</si>
  <si>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</si>
  <si>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</si>
  <si>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</si>
  <si>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Kormangala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</si>
  <si>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</si>
  <si>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</si>
  <si>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</si>
  <si>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</si>
  <si>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</si>
  <si>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</si>
  <si>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</si>
  <si>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</si>
  <si>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</si>
  <si>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</si>
  <si>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</si>
  <si>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</si>
  <si>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</si>
  <si>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</si>
  <si>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</si>
  <si>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</si>
  <si>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</si>
  <si>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</si>
  <si>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</si>
  <si>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</si>
  <si>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</si>
  <si>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</si>
  <si>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Joining Date</t>
  </si>
  <si>
    <t>DA</t>
  </si>
  <si>
    <t>HRA</t>
  </si>
  <si>
    <t>TA</t>
  </si>
  <si>
    <t>PF</t>
  </si>
  <si>
    <t>Bonus</t>
  </si>
  <si>
    <t>Incentives</t>
  </si>
  <si>
    <t>Overtime</t>
  </si>
  <si>
    <t>Tax</t>
  </si>
  <si>
    <t>CCA</t>
  </si>
  <si>
    <t>Allowance</t>
  </si>
  <si>
    <t>E_code</t>
  </si>
  <si>
    <t>Tax_1</t>
  </si>
  <si>
    <t>IF</t>
  </si>
  <si>
    <t>IF and AND</t>
  </si>
  <si>
    <t>IF and OR</t>
  </si>
  <si>
    <t>IF, NOT and OR</t>
  </si>
  <si>
    <t>Nested IF</t>
  </si>
  <si>
    <t>IFS</t>
  </si>
  <si>
    <t>IF, OR and AND</t>
  </si>
  <si>
    <t>Statements used</t>
  </si>
  <si>
    <t>----------------------------------------------------------------------------------------</t>
  </si>
  <si>
    <t>Conditional Formatting -- Highlights the data to increase visiblity</t>
  </si>
  <si>
    <t>Duplicate/Unique</t>
  </si>
  <si>
    <t>Text contain</t>
  </si>
  <si>
    <t>less/grater</t>
  </si>
  <si>
    <t>Between</t>
  </si>
  <si>
    <t>Projects</t>
  </si>
  <si>
    <t>Formula Used</t>
  </si>
  <si>
    <t>"RANDBETWEEN(10,50)"</t>
  </si>
  <si>
    <t xml:space="preserve">get top 2 --&gt; green </t>
  </si>
  <si>
    <t>get bottom 2--&gt; yellow</t>
  </si>
  <si>
    <t xml:space="preserve">top/bottom </t>
  </si>
  <si>
    <t xml:space="preserve">Conditional formatting </t>
  </si>
  <si>
    <t>Data</t>
  </si>
  <si>
    <t>Data Bars</t>
  </si>
  <si>
    <t>Products</t>
  </si>
  <si>
    <t>PL</t>
  </si>
  <si>
    <t>Apples</t>
  </si>
  <si>
    <t>Kiwi</t>
  </si>
  <si>
    <t>Banana</t>
  </si>
  <si>
    <t>Coriander</t>
  </si>
  <si>
    <t>Celery</t>
  </si>
  <si>
    <t>Mangos</t>
  </si>
  <si>
    <t>Papaya</t>
  </si>
  <si>
    <t>Orange</t>
  </si>
  <si>
    <t>Lime</t>
  </si>
  <si>
    <t>Icon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</si>
</sst>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0" fontId="0" fillId="0" borderId="4" xfId="0" applyBorder="1"/>
    <xf numFmtId="0" fontId="0" fillId="4" borderId="6" xfId="0" applyFill="1" applyBorder="1"/>
    <xf numFmtId="0" fontId="0" fillId="0" borderId="6" xfId="0" applyBorder="1"/>
    <xf numFmtId="0" fontId="0" fillId="2" borderId="5" xfId="0" applyFill="1" applyBorder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43069</xdr:colOff>
      <xdr:row>22</xdr:row>
      <xdr:rowOff>22152</xdr:rowOff>
    </xdr:from>
    <xdr:to>
      <xdr:col>10</xdr:col>
      <xdr:colOff>0</xdr:colOff>
      <xdr:row>31</xdr:row>
      <xdr:rowOff>14768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3DF125-41DF-14E1-2CF7-B6D20AA4FF4F}"/>
            </a:ext>
          </a:extLst>
        </xdr:cNvPr>
        <xdr:cNvSpPr txBox="1"/>
      </xdr:nvSpPr>
      <xdr:spPr>
        <a:xfrm>
          <a:off x="43069" y="3898605"/>
          <a:ext cx="6816408" cy="165395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DA: 5%</a:t>
          </a:r>
          <a:r>
            <a:rPr lang="en-IN" sz="1100" baseline="0"/>
            <a:t> of basic</a:t>
          </a:r>
          <a:r>
            <a:rPr lang="en-IN" sz="1100"/>
            <a:t> for employees whose salary is higher than 10000</a:t>
          </a:r>
        </a:p>
        <a:p>
          <a:r>
            <a:rPr lang="en-IN" sz="1100"/>
            <a:t>TA: marketing</a:t>
          </a:r>
          <a:r>
            <a:rPr lang="en-IN" sz="1100" baseline="0"/>
            <a:t> 5000 others 0</a:t>
          </a:r>
        </a:p>
        <a:p>
          <a:r>
            <a:rPr lang="en-IN" sz="1100" baseline="0"/>
            <a:t>Bonus: for employee from west and training as 40% of basic</a:t>
          </a:r>
        </a:p>
        <a:p>
          <a:r>
            <a:rPr lang="en-IN" sz="1100" baseline="0"/>
            <a:t>Incentive: for accounts and operation as 5000 others 0</a:t>
          </a:r>
        </a:p>
        <a:p>
          <a:r>
            <a:rPr lang="en-IN" sz="1100" baseline="0"/>
            <a:t>Overtime: all except account and operations 3500</a:t>
          </a:r>
        </a:p>
        <a:p>
          <a:r>
            <a:rPr lang="en-IN" sz="1100" baseline="0"/>
            <a:t>Tax: basic&lt; 5000: no tax, 5k to 10k then 50, 10k to 15k then 100,15k to 20k then 150, higher than 20k then 200</a:t>
          </a:r>
        </a:p>
        <a:p>
          <a:r>
            <a:rPr lang="en-IN" sz="1100" baseline="0"/>
            <a:t>CCA: Only for tier 1 citie (Kolkata, Mumbai, Delhi, Bangalore, Chennai) 5000</a:t>
          </a:r>
        </a:p>
        <a:p>
          <a:r>
            <a:rPr lang="en-IN" sz="1100" baseline="0"/>
            <a:t>Allowance: 30% of basic if from training and w, R&amp;D and S, Marketing and N, Accounting and C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zoomScale="86" zoomScaleNormal="122" workbookViewId="0">
      <selection activeCell="S16" sqref="S16"/>
    </sheetView>
  </sheetViews>
  <sheetFormatPr defaultRowHeight="14.5" x14ac:dyDescent="0.35"/>
  <cols>
    <col min="1" max="1" width="6.6328125" customWidth="1"/>
    <col min="2" max="2" width="14.453125" bestFit="1" customWidth="1"/>
    <col min="3" max="3" width="11" bestFit="1" customWidth="1"/>
    <col min="4" max="4" width="9.81640625" bestFit="1" customWidth="1"/>
    <col min="5" max="5" width="6.453125" bestFit="1" customWidth="1"/>
    <col min="6" max="6" width="11.08984375" bestFit="1" customWidth="1"/>
    <col min="7" max="7" width="7.54296875" customWidth="1"/>
    <col min="8" max="8" width="12.08984375" customWidth="1"/>
    <col min="9" max="9" width="7.36328125" customWidth="1"/>
    <col min="10" max="10" width="5.6328125" customWidth="1"/>
    <col min="11" max="11" width="10.26953125" customWidth="1"/>
    <col min="12" max="12" width="8.90625" customWidth="1"/>
    <col min="13" max="13" width="13" customWidth="1"/>
    <col min="17" max="17" width="13.6328125" customWidth="1"/>
  </cols>
  <sheetData>
    <row r="1" spans="1:17" x14ac:dyDescent="0.35">
      <c r="A1" s="1" t="s">
        <v>74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66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75</v>
      </c>
      <c r="P1" s="1" t="s">
        <v>72</v>
      </c>
      <c r="Q1" s="1" t="s">
        <v>73</v>
      </c>
    </row>
    <row r="2" spans="1:17" x14ac:dyDescent="0.3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6250</v>
      </c>
      <c r="H2" s="3">
        <v>44698</v>
      </c>
      <c r="I2" s="4">
        <f>IF(G2&gt;10000,0.05*G2,0)</f>
        <v>0</v>
      </c>
      <c r="J2" s="2">
        <f>IF(F2="Marketing",5000,0)</f>
        <v>0</v>
      </c>
      <c r="K2" s="2">
        <f>IF(AND(E2="W",F2="Training"),0.4*G2,0)</f>
        <v>2500</v>
      </c>
      <c r="L2" s="2">
        <f>IF(OR(F2="Accounts",F2="Operation"),5000,0)</f>
        <v>0</v>
      </c>
      <c r="M2" s="2">
        <f>IF(NOT(OR(F2="Accounts",F2="Operation")),3500,0)</f>
        <v>3500</v>
      </c>
      <c r="N2" s="2">
        <f>IF(G2&lt;5000,0,IF(G2&lt;10000,50,IF(G2&lt;15000,100,IF(G2&lt;20000,150,2000))))</f>
        <v>50</v>
      </c>
      <c r="O2" s="2" cm="1">
        <f t="array" ref="O2">_xlfn.IFS(G2&lt;5000,0,G2&lt;10000,50,G2&lt;15000,100,G2&lt;20000,150,G2&gt;=20000,200)</f>
        <v>50</v>
      </c>
      <c r="P2" s="2">
        <f>IF(OR(D2="Kolkata",D2="Mumbai",D2="Chennai",D2="Delhi",D2="Bangalore"),5000,0)</f>
        <v>5000</v>
      </c>
      <c r="Q2" s="2">
        <f>IF(OR(AND(F2="Training",E2="W"),AND(F2="R&amp;D",E2="S"),AND(F2="Marketing",E2="N"),AND(F2="Accounts",E2="E")),0.3*G2,0)</f>
        <v>1875</v>
      </c>
    </row>
    <row r="3" spans="1:17" x14ac:dyDescent="0.35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8750</v>
      </c>
      <c r="H3" s="3">
        <v>44357</v>
      </c>
      <c r="I3" s="4">
        <f t="shared" ref="I3:I21" si="0">IF(G3&gt;10000,0.05*G3,0)</f>
        <v>0</v>
      </c>
      <c r="J3" s="2">
        <f>IF(F3="Marketing",5000,0)</f>
        <v>0</v>
      </c>
      <c r="K3" s="2">
        <f t="shared" ref="K3:K21" si="1">IF(AND(E3="W",F3="Training"),0.4*G3,0)</f>
        <v>0</v>
      </c>
      <c r="L3" s="2">
        <f t="shared" ref="L3:L21" si="2">IF(OR(F3="Accounts",F3="Operation"),5000,0)</f>
        <v>5000</v>
      </c>
      <c r="M3" s="2">
        <f t="shared" ref="M3:M21" si="3">IF(NOT(OR(F3="Accounts",F3="Operation")),3500,0)</f>
        <v>0</v>
      </c>
      <c r="N3" s="2">
        <f t="shared" ref="N3:N21" si="4">IF(G3&lt;5000,0,IF(G3&lt;10000,50,IF(G3&lt;15000,100,IF(G3&lt;20000,150,2000))))</f>
        <v>50</v>
      </c>
      <c r="O3" s="2" cm="1">
        <f t="array" ref="O3">_xlfn.IFS(G3&lt;5000,0,G3&lt;10000,50,G3&lt;15000,100,G3&lt;20000,150,G3&gt;=20000,200)</f>
        <v>50</v>
      </c>
      <c r="P3" s="2">
        <f t="shared" ref="P3:P21" si="5">IF(OR(D3="Kolkata",D3="Mumbai",D3="Chennai",D3="Delhi",D3="Bangalore"),5000,0)</f>
        <v>5000</v>
      </c>
      <c r="Q3" s="2">
        <f t="shared" ref="Q3:Q21" si="6">IF(OR(AND(F3="Training",E3="W"),AND(F3="R&amp;D",E3="S"),AND(F3="Marketing",E3="N"),AND(F3="Accounts",E3="E")),0.3*G3,0)</f>
        <v>0</v>
      </c>
    </row>
    <row r="4" spans="1:17" x14ac:dyDescent="0.35">
      <c r="A4" s="2">
        <v>3</v>
      </c>
      <c r="B4" s="2" t="s">
        <v>17</v>
      </c>
      <c r="C4" s="2" t="s">
        <v>18</v>
      </c>
      <c r="D4" s="2" t="s">
        <v>19</v>
      </c>
      <c r="E4" s="2" t="s">
        <v>15</v>
      </c>
      <c r="F4" s="2" t="s">
        <v>20</v>
      </c>
      <c r="G4" s="2">
        <v>11250</v>
      </c>
      <c r="H4" s="3">
        <v>44767</v>
      </c>
      <c r="I4" s="4">
        <f t="shared" si="0"/>
        <v>562.5</v>
      </c>
      <c r="J4" s="2">
        <f t="shared" ref="J4:J21" si="7">IF(F4="Marketing",5000,0)</f>
        <v>5000</v>
      </c>
      <c r="K4" s="2">
        <f t="shared" si="1"/>
        <v>0</v>
      </c>
      <c r="L4" s="2">
        <f t="shared" si="2"/>
        <v>0</v>
      </c>
      <c r="M4" s="2">
        <f t="shared" si="3"/>
        <v>3500</v>
      </c>
      <c r="N4" s="2">
        <f t="shared" si="4"/>
        <v>100</v>
      </c>
      <c r="O4" s="2" cm="1">
        <f t="array" ref="O4">_xlfn.IFS(G4&lt;5000,0,G4&lt;10000,50,G4&lt;15000,100,G4&lt;20000,150,G4&gt;=20000,200)</f>
        <v>100</v>
      </c>
      <c r="P4" s="2">
        <f t="shared" si="5"/>
        <v>0</v>
      </c>
      <c r="Q4" s="2">
        <f t="shared" si="6"/>
        <v>3375</v>
      </c>
    </row>
    <row r="5" spans="1:17" x14ac:dyDescent="0.3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>
        <v>10000</v>
      </c>
      <c r="H5" s="3">
        <v>44592</v>
      </c>
      <c r="I5" s="4">
        <f t="shared" si="0"/>
        <v>0</v>
      </c>
      <c r="J5" s="2">
        <f t="shared" si="7"/>
        <v>0</v>
      </c>
      <c r="K5" s="2">
        <f t="shared" si="1"/>
        <v>0</v>
      </c>
      <c r="L5" s="2">
        <f t="shared" si="2"/>
        <v>0</v>
      </c>
      <c r="M5" s="2">
        <f t="shared" si="3"/>
        <v>3500</v>
      </c>
      <c r="N5" s="2">
        <f t="shared" si="4"/>
        <v>100</v>
      </c>
      <c r="O5" s="2" cm="1">
        <f t="array" ref="O5">_xlfn.IFS(G5&lt;5000,0,G5&lt;10000,50,G5&lt;15000,100,G5&lt;20000,150,G5&gt;=20000,200)</f>
        <v>100</v>
      </c>
      <c r="P5" s="2">
        <f t="shared" si="5"/>
        <v>5000</v>
      </c>
      <c r="Q5" s="2">
        <f t="shared" si="6"/>
        <v>3000</v>
      </c>
    </row>
    <row r="6" spans="1:17" x14ac:dyDescent="0.35">
      <c r="A6" s="2">
        <v>5</v>
      </c>
      <c r="B6" s="2" t="s">
        <v>26</v>
      </c>
      <c r="C6" s="2" t="s">
        <v>27</v>
      </c>
      <c r="D6" s="2" t="s">
        <v>14</v>
      </c>
      <c r="E6" s="2" t="s">
        <v>15</v>
      </c>
      <c r="F6" s="2" t="s">
        <v>11</v>
      </c>
      <c r="G6" s="2">
        <v>16250</v>
      </c>
      <c r="H6" s="3">
        <v>44590</v>
      </c>
      <c r="I6" s="4">
        <f t="shared" si="0"/>
        <v>812.5</v>
      </c>
      <c r="J6" s="2">
        <f t="shared" si="7"/>
        <v>0</v>
      </c>
      <c r="K6" s="2">
        <f t="shared" si="1"/>
        <v>0</v>
      </c>
      <c r="L6" s="2">
        <f t="shared" si="2"/>
        <v>0</v>
      </c>
      <c r="M6" s="2">
        <f t="shared" si="3"/>
        <v>3500</v>
      </c>
      <c r="N6" s="2">
        <f t="shared" si="4"/>
        <v>150</v>
      </c>
      <c r="O6" s="2" cm="1">
        <f t="array" ref="O6">_xlfn.IFS(G6&lt;5000,0,G6&lt;10000,50,G6&lt;15000,100,G6&lt;20000,150,G6&gt;=20000,200)</f>
        <v>150</v>
      </c>
      <c r="P6" s="2">
        <f t="shared" si="5"/>
        <v>5000</v>
      </c>
      <c r="Q6" s="2">
        <f t="shared" si="6"/>
        <v>0</v>
      </c>
    </row>
    <row r="7" spans="1:17" x14ac:dyDescent="0.35">
      <c r="A7" s="2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16</v>
      </c>
      <c r="G7" s="2">
        <v>6400</v>
      </c>
      <c r="H7" s="3">
        <v>44359</v>
      </c>
      <c r="I7" s="4">
        <f t="shared" si="0"/>
        <v>0</v>
      </c>
      <c r="J7" s="2">
        <f t="shared" si="7"/>
        <v>0</v>
      </c>
      <c r="K7" s="2">
        <f t="shared" si="1"/>
        <v>0</v>
      </c>
      <c r="L7" s="2">
        <f t="shared" si="2"/>
        <v>5000</v>
      </c>
      <c r="M7" s="2">
        <f t="shared" si="3"/>
        <v>0</v>
      </c>
      <c r="N7" s="2">
        <f t="shared" si="4"/>
        <v>50</v>
      </c>
      <c r="O7" s="2" cm="1">
        <f t="array" ref="O7">_xlfn.IFS(G7&lt;5000,0,G7&lt;10000,50,G7&lt;15000,100,G7&lt;20000,150,G7&gt;=20000,200)</f>
        <v>50</v>
      </c>
      <c r="P7" s="2">
        <f t="shared" si="5"/>
        <v>0</v>
      </c>
      <c r="Q7" s="2">
        <f t="shared" si="6"/>
        <v>1920</v>
      </c>
    </row>
    <row r="8" spans="1:17" x14ac:dyDescent="0.35">
      <c r="A8" s="2">
        <v>7</v>
      </c>
      <c r="B8" s="2" t="s">
        <v>32</v>
      </c>
      <c r="C8" s="2" t="s">
        <v>33</v>
      </c>
      <c r="D8" s="2" t="s">
        <v>34</v>
      </c>
      <c r="E8" s="2" t="s">
        <v>31</v>
      </c>
      <c r="F8" s="2" t="s">
        <v>20</v>
      </c>
      <c r="G8" s="2">
        <v>4500</v>
      </c>
      <c r="H8" s="3">
        <v>44324</v>
      </c>
      <c r="I8" s="4">
        <f t="shared" si="0"/>
        <v>0</v>
      </c>
      <c r="J8" s="2">
        <f t="shared" si="7"/>
        <v>5000</v>
      </c>
      <c r="K8" s="2">
        <f t="shared" si="1"/>
        <v>0</v>
      </c>
      <c r="L8" s="2">
        <f t="shared" si="2"/>
        <v>0</v>
      </c>
      <c r="M8" s="2">
        <f t="shared" si="3"/>
        <v>3500</v>
      </c>
      <c r="N8" s="2">
        <f t="shared" si="4"/>
        <v>0</v>
      </c>
      <c r="O8" s="2" cm="1">
        <f t="array" ref="O8">_xlfn.IFS(G8&lt;5000,0,G8&lt;10000,50,G8&lt;15000,100,G8&lt;20000,150,G8&gt;=20000,200)</f>
        <v>0</v>
      </c>
      <c r="P8" s="2">
        <f t="shared" si="5"/>
        <v>5000</v>
      </c>
      <c r="Q8" s="2">
        <f t="shared" si="6"/>
        <v>0</v>
      </c>
    </row>
    <row r="9" spans="1:17" x14ac:dyDescent="0.35">
      <c r="A9" s="2">
        <v>8</v>
      </c>
      <c r="B9" s="2" t="s">
        <v>35</v>
      </c>
      <c r="C9" s="2" t="s">
        <v>36</v>
      </c>
      <c r="D9" s="2" t="s">
        <v>34</v>
      </c>
      <c r="E9" s="2" t="s">
        <v>31</v>
      </c>
      <c r="F9" s="2" t="s">
        <v>25</v>
      </c>
      <c r="G9" s="2">
        <v>6275</v>
      </c>
      <c r="H9" s="3">
        <v>44642</v>
      </c>
      <c r="I9" s="4">
        <f t="shared" si="0"/>
        <v>0</v>
      </c>
      <c r="J9" s="2">
        <f t="shared" si="7"/>
        <v>0</v>
      </c>
      <c r="K9" s="2">
        <f t="shared" si="1"/>
        <v>0</v>
      </c>
      <c r="L9" s="2">
        <f t="shared" si="2"/>
        <v>0</v>
      </c>
      <c r="M9" s="2">
        <f t="shared" si="3"/>
        <v>3500</v>
      </c>
      <c r="N9" s="2">
        <f t="shared" si="4"/>
        <v>50</v>
      </c>
      <c r="O9" s="2" cm="1">
        <f t="array" ref="O9">_xlfn.IFS(G9&lt;5000,0,G9&lt;10000,50,G9&lt;15000,100,G9&lt;20000,150,G9&gt;=20000,200)</f>
        <v>50</v>
      </c>
      <c r="P9" s="2">
        <f t="shared" si="5"/>
        <v>5000</v>
      </c>
      <c r="Q9" s="2">
        <f t="shared" si="6"/>
        <v>0</v>
      </c>
    </row>
    <row r="10" spans="1:17" x14ac:dyDescent="0.35">
      <c r="A10" s="2">
        <v>9</v>
      </c>
      <c r="B10" s="2" t="s">
        <v>37</v>
      </c>
      <c r="C10" s="2" t="s">
        <v>38</v>
      </c>
      <c r="D10" s="2" t="s">
        <v>9</v>
      </c>
      <c r="E10" s="2" t="s">
        <v>10</v>
      </c>
      <c r="F10" s="2" t="s">
        <v>11</v>
      </c>
      <c r="G10" s="2">
        <v>6250</v>
      </c>
      <c r="H10" s="3">
        <v>44690</v>
      </c>
      <c r="I10" s="4">
        <f t="shared" si="0"/>
        <v>0</v>
      </c>
      <c r="J10" s="2">
        <f t="shared" si="7"/>
        <v>0</v>
      </c>
      <c r="K10" s="2">
        <f t="shared" si="1"/>
        <v>2500</v>
      </c>
      <c r="L10" s="2">
        <f t="shared" si="2"/>
        <v>0</v>
      </c>
      <c r="M10" s="2">
        <f t="shared" si="3"/>
        <v>3500</v>
      </c>
      <c r="N10" s="2">
        <f t="shared" si="4"/>
        <v>50</v>
      </c>
      <c r="O10" s="2" cm="1">
        <f t="array" ref="O10">_xlfn.IFS(G10&lt;5000,0,G10&lt;10000,50,G10&lt;15000,100,G10&lt;20000,150,G10&gt;=20000,200)</f>
        <v>50</v>
      </c>
      <c r="P10" s="2">
        <f t="shared" si="5"/>
        <v>5000</v>
      </c>
      <c r="Q10" s="2">
        <f t="shared" si="6"/>
        <v>1875</v>
      </c>
    </row>
    <row r="11" spans="1:17" x14ac:dyDescent="0.35">
      <c r="A11" s="2">
        <v>10</v>
      </c>
      <c r="B11" s="2" t="s">
        <v>39</v>
      </c>
      <c r="C11" s="2" t="s">
        <v>40</v>
      </c>
      <c r="D11" s="2" t="s">
        <v>41</v>
      </c>
      <c r="E11" s="2" t="s">
        <v>24</v>
      </c>
      <c r="F11" s="2" t="s">
        <v>16</v>
      </c>
      <c r="G11" s="2">
        <v>8750</v>
      </c>
      <c r="H11" s="3">
        <v>44578</v>
      </c>
      <c r="I11" s="4">
        <f t="shared" si="0"/>
        <v>0</v>
      </c>
      <c r="J11" s="2">
        <f t="shared" si="7"/>
        <v>0</v>
      </c>
      <c r="K11" s="2">
        <f t="shared" si="1"/>
        <v>0</v>
      </c>
      <c r="L11" s="2">
        <f t="shared" si="2"/>
        <v>5000</v>
      </c>
      <c r="M11" s="2">
        <f t="shared" si="3"/>
        <v>0</v>
      </c>
      <c r="N11" s="2">
        <f t="shared" si="4"/>
        <v>50</v>
      </c>
      <c r="O11" s="2" cm="1">
        <f t="array" ref="O11">_xlfn.IFS(G11&lt;5000,0,G11&lt;10000,50,G11&lt;15000,100,G11&lt;20000,150,G11&gt;=20000,200)</f>
        <v>50</v>
      </c>
      <c r="P11" s="2">
        <f t="shared" si="5"/>
        <v>5000</v>
      </c>
      <c r="Q11" s="2">
        <f t="shared" si="6"/>
        <v>0</v>
      </c>
    </row>
    <row r="12" spans="1:17" x14ac:dyDescent="0.35">
      <c r="A12" s="2">
        <v>11</v>
      </c>
      <c r="B12" s="2" t="s">
        <v>42</v>
      </c>
      <c r="C12" s="2" t="s">
        <v>43</v>
      </c>
      <c r="D12" s="2" t="s">
        <v>41</v>
      </c>
      <c r="E12" s="2" t="s">
        <v>24</v>
      </c>
      <c r="F12" s="2" t="s">
        <v>20</v>
      </c>
      <c r="G12" s="2">
        <v>11250</v>
      </c>
      <c r="H12" s="3">
        <v>44683</v>
      </c>
      <c r="I12" s="4">
        <f t="shared" si="0"/>
        <v>562.5</v>
      </c>
      <c r="J12" s="2">
        <f t="shared" si="7"/>
        <v>5000</v>
      </c>
      <c r="K12" s="2">
        <f t="shared" si="1"/>
        <v>0</v>
      </c>
      <c r="L12" s="2">
        <f t="shared" si="2"/>
        <v>0</v>
      </c>
      <c r="M12" s="2">
        <f t="shared" si="3"/>
        <v>3500</v>
      </c>
      <c r="N12" s="2">
        <f t="shared" si="4"/>
        <v>100</v>
      </c>
      <c r="O12" s="2" cm="1">
        <f t="array" ref="O12">_xlfn.IFS(G12&lt;5000,0,G12&lt;10000,50,G12&lt;15000,100,G12&lt;20000,150,G12&gt;=20000,200)</f>
        <v>100</v>
      </c>
      <c r="P12" s="2">
        <f t="shared" si="5"/>
        <v>5000</v>
      </c>
      <c r="Q12" s="2">
        <f t="shared" si="6"/>
        <v>0</v>
      </c>
    </row>
    <row r="13" spans="1:17" x14ac:dyDescent="0.35">
      <c r="A13" s="2">
        <v>12</v>
      </c>
      <c r="B13" s="2" t="s">
        <v>44</v>
      </c>
      <c r="C13" s="2" t="s">
        <v>45</v>
      </c>
      <c r="D13" s="2" t="s">
        <v>46</v>
      </c>
      <c r="E13" s="2" t="s">
        <v>24</v>
      </c>
      <c r="F13" s="2" t="s">
        <v>25</v>
      </c>
      <c r="G13" s="2">
        <v>10000</v>
      </c>
      <c r="H13" s="3">
        <v>44817</v>
      </c>
      <c r="I13" s="4">
        <f t="shared" si="0"/>
        <v>0</v>
      </c>
      <c r="J13" s="2">
        <f t="shared" si="7"/>
        <v>0</v>
      </c>
      <c r="K13" s="2">
        <f t="shared" si="1"/>
        <v>0</v>
      </c>
      <c r="L13" s="2">
        <f t="shared" si="2"/>
        <v>0</v>
      </c>
      <c r="M13" s="2">
        <f t="shared" si="3"/>
        <v>3500</v>
      </c>
      <c r="N13" s="2">
        <f t="shared" si="4"/>
        <v>100</v>
      </c>
      <c r="O13" s="2" cm="1">
        <f t="array" ref="O13">_xlfn.IFS(G13&lt;5000,0,G13&lt;10000,50,G13&lt;15000,100,G13&lt;20000,150,G13&gt;=20000,200)</f>
        <v>100</v>
      </c>
      <c r="P13" s="2">
        <f t="shared" si="5"/>
        <v>0</v>
      </c>
      <c r="Q13" s="2">
        <f t="shared" si="6"/>
        <v>3000</v>
      </c>
    </row>
    <row r="14" spans="1:17" x14ac:dyDescent="0.35">
      <c r="A14" s="2">
        <v>13</v>
      </c>
      <c r="B14" s="2" t="s">
        <v>47</v>
      </c>
      <c r="C14" s="2" t="s">
        <v>13</v>
      </c>
      <c r="D14" s="2" t="s">
        <v>48</v>
      </c>
      <c r="E14" s="2" t="s">
        <v>24</v>
      </c>
      <c r="F14" s="2" t="s">
        <v>11</v>
      </c>
      <c r="G14" s="2">
        <v>16250</v>
      </c>
      <c r="H14" s="3">
        <v>44397</v>
      </c>
      <c r="I14" s="4">
        <f t="shared" si="0"/>
        <v>812.5</v>
      </c>
      <c r="J14" s="2">
        <f t="shared" si="7"/>
        <v>0</v>
      </c>
      <c r="K14" s="2">
        <f t="shared" si="1"/>
        <v>0</v>
      </c>
      <c r="L14" s="2">
        <f t="shared" si="2"/>
        <v>0</v>
      </c>
      <c r="M14" s="2">
        <f t="shared" si="3"/>
        <v>3500</v>
      </c>
      <c r="N14" s="2">
        <f t="shared" si="4"/>
        <v>150</v>
      </c>
      <c r="O14" s="2" cm="1">
        <f t="array" ref="O14">_xlfn.IFS(G14&lt;5000,0,G14&lt;10000,50,G14&lt;15000,100,G14&lt;20000,150,G14&gt;=20000,200)</f>
        <v>150</v>
      </c>
      <c r="P14" s="2">
        <f t="shared" si="5"/>
        <v>0</v>
      </c>
      <c r="Q14" s="2">
        <f t="shared" si="6"/>
        <v>0</v>
      </c>
    </row>
    <row r="15" spans="1:17" x14ac:dyDescent="0.35">
      <c r="A15" s="2">
        <v>14</v>
      </c>
      <c r="B15" s="2" t="s">
        <v>49</v>
      </c>
      <c r="C15" s="2" t="s">
        <v>18</v>
      </c>
      <c r="D15" s="2" t="s">
        <v>46</v>
      </c>
      <c r="E15" s="2" t="s">
        <v>24</v>
      </c>
      <c r="F15" s="2" t="s">
        <v>16</v>
      </c>
      <c r="G15" s="2">
        <v>6400</v>
      </c>
      <c r="H15" s="3">
        <v>44406</v>
      </c>
      <c r="I15" s="4">
        <f t="shared" si="0"/>
        <v>0</v>
      </c>
      <c r="J15" s="2">
        <f t="shared" si="7"/>
        <v>0</v>
      </c>
      <c r="K15" s="2">
        <f t="shared" si="1"/>
        <v>0</v>
      </c>
      <c r="L15" s="2">
        <f t="shared" si="2"/>
        <v>5000</v>
      </c>
      <c r="M15" s="2">
        <f t="shared" si="3"/>
        <v>0</v>
      </c>
      <c r="N15" s="2">
        <f t="shared" si="4"/>
        <v>50</v>
      </c>
      <c r="O15" s="2" cm="1">
        <f t="array" ref="O15">_xlfn.IFS(G15&lt;5000,0,G15&lt;10000,50,G15&lt;15000,100,G15&lt;20000,150,G15&gt;=20000,200)</f>
        <v>50</v>
      </c>
      <c r="P15" s="2">
        <f t="shared" si="5"/>
        <v>0</v>
      </c>
      <c r="Q15" s="2">
        <f t="shared" si="6"/>
        <v>0</v>
      </c>
    </row>
    <row r="16" spans="1:17" x14ac:dyDescent="0.35">
      <c r="A16" s="2">
        <v>15</v>
      </c>
      <c r="B16" s="2" t="s">
        <v>50</v>
      </c>
      <c r="C16" s="2" t="s">
        <v>51</v>
      </c>
      <c r="D16" s="2" t="s">
        <v>14</v>
      </c>
      <c r="E16" s="2" t="s">
        <v>15</v>
      </c>
      <c r="F16" s="2" t="s">
        <v>20</v>
      </c>
      <c r="G16" s="2">
        <v>4500</v>
      </c>
      <c r="H16" s="3">
        <v>44565</v>
      </c>
      <c r="I16" s="4">
        <f t="shared" si="0"/>
        <v>0</v>
      </c>
      <c r="J16" s="2">
        <f t="shared" si="7"/>
        <v>5000</v>
      </c>
      <c r="K16" s="2">
        <f t="shared" si="1"/>
        <v>0</v>
      </c>
      <c r="L16" s="2">
        <f t="shared" si="2"/>
        <v>0</v>
      </c>
      <c r="M16" s="2">
        <f t="shared" si="3"/>
        <v>3500</v>
      </c>
      <c r="N16" s="2">
        <f t="shared" si="4"/>
        <v>0</v>
      </c>
      <c r="O16" s="2" cm="1">
        <f t="array" ref="O16">_xlfn.IFS(G16&lt;5000,0,G16&lt;10000,50,G16&lt;15000,100,G16&lt;20000,150,G16&gt;=20000,200)</f>
        <v>0</v>
      </c>
      <c r="P16" s="2">
        <f t="shared" si="5"/>
        <v>5000</v>
      </c>
      <c r="Q16" s="2">
        <f t="shared" si="6"/>
        <v>1350</v>
      </c>
    </row>
    <row r="17" spans="1:17" x14ac:dyDescent="0.35">
      <c r="A17" s="2">
        <v>16</v>
      </c>
      <c r="B17" s="2" t="s">
        <v>52</v>
      </c>
      <c r="C17" s="2" t="s">
        <v>36</v>
      </c>
      <c r="D17" s="2" t="s">
        <v>46</v>
      </c>
      <c r="E17" s="2" t="s">
        <v>24</v>
      </c>
      <c r="F17" s="2" t="s">
        <v>25</v>
      </c>
      <c r="G17" s="2">
        <v>6275</v>
      </c>
      <c r="H17" s="3">
        <v>44688</v>
      </c>
      <c r="I17" s="4">
        <f t="shared" si="0"/>
        <v>0</v>
      </c>
      <c r="J17" s="2">
        <f t="shared" si="7"/>
        <v>0</v>
      </c>
      <c r="K17" s="2">
        <f t="shared" si="1"/>
        <v>0</v>
      </c>
      <c r="L17" s="2">
        <f t="shared" si="2"/>
        <v>0</v>
      </c>
      <c r="M17" s="2">
        <f t="shared" si="3"/>
        <v>3500</v>
      </c>
      <c r="N17" s="2">
        <f t="shared" si="4"/>
        <v>50</v>
      </c>
      <c r="O17" s="2" cm="1">
        <f t="array" ref="O17">_xlfn.IFS(G17&lt;5000,0,G17&lt;10000,50,G17&lt;15000,100,G17&lt;20000,150,G17&gt;=20000,200)</f>
        <v>50</v>
      </c>
      <c r="P17" s="2">
        <f t="shared" si="5"/>
        <v>0</v>
      </c>
      <c r="Q17" s="2">
        <f t="shared" si="6"/>
        <v>1882.5</v>
      </c>
    </row>
    <row r="18" spans="1:17" x14ac:dyDescent="0.35">
      <c r="A18" s="2">
        <v>17</v>
      </c>
      <c r="B18" s="2" t="s">
        <v>53</v>
      </c>
      <c r="C18" s="2" t="s">
        <v>54</v>
      </c>
      <c r="D18" s="2" t="s">
        <v>9</v>
      </c>
      <c r="E18" s="2" t="s">
        <v>10</v>
      </c>
      <c r="F18" s="2" t="s">
        <v>55</v>
      </c>
      <c r="G18" s="2">
        <v>6250</v>
      </c>
      <c r="H18" s="3">
        <v>44842</v>
      </c>
      <c r="I18" s="4">
        <f t="shared" si="0"/>
        <v>0</v>
      </c>
      <c r="J18" s="2">
        <f t="shared" si="7"/>
        <v>0</v>
      </c>
      <c r="K18" s="2">
        <f t="shared" si="1"/>
        <v>0</v>
      </c>
      <c r="L18" s="2">
        <f t="shared" si="2"/>
        <v>5000</v>
      </c>
      <c r="M18" s="2">
        <f t="shared" si="3"/>
        <v>0</v>
      </c>
      <c r="N18" s="2">
        <f t="shared" si="4"/>
        <v>50</v>
      </c>
      <c r="O18" s="2" cm="1">
        <f t="array" ref="O18">_xlfn.IFS(G18&lt;5000,0,G18&lt;10000,50,G18&lt;15000,100,G18&lt;20000,150,G18&gt;=20000,200)</f>
        <v>50</v>
      </c>
      <c r="P18" s="2">
        <f t="shared" si="5"/>
        <v>5000</v>
      </c>
      <c r="Q18" s="2">
        <f t="shared" si="6"/>
        <v>0</v>
      </c>
    </row>
    <row r="19" spans="1:17" x14ac:dyDescent="0.35">
      <c r="A19" s="2">
        <v>18</v>
      </c>
      <c r="B19" s="2" t="s">
        <v>56</v>
      </c>
      <c r="C19" s="2" t="s">
        <v>57</v>
      </c>
      <c r="D19" s="2" t="s">
        <v>9</v>
      </c>
      <c r="E19" s="2" t="s">
        <v>10</v>
      </c>
      <c r="F19" s="2" t="s">
        <v>25</v>
      </c>
      <c r="G19" s="2">
        <v>8750</v>
      </c>
      <c r="H19" s="3">
        <v>44830</v>
      </c>
      <c r="I19" s="4">
        <f t="shared" si="0"/>
        <v>0</v>
      </c>
      <c r="J19" s="2">
        <f t="shared" si="7"/>
        <v>0</v>
      </c>
      <c r="K19" s="2">
        <f t="shared" si="1"/>
        <v>0</v>
      </c>
      <c r="L19" s="2">
        <f t="shared" si="2"/>
        <v>0</v>
      </c>
      <c r="M19" s="2">
        <f t="shared" si="3"/>
        <v>3500</v>
      </c>
      <c r="N19" s="2">
        <f t="shared" si="4"/>
        <v>50</v>
      </c>
      <c r="O19" s="2" cm="1">
        <f t="array" ref="O19">_xlfn.IFS(G19&lt;5000,0,G19&lt;10000,50,G19&lt;15000,100,G19&lt;20000,150,G19&gt;=20000,200)</f>
        <v>50</v>
      </c>
      <c r="P19" s="2">
        <f t="shared" si="5"/>
        <v>5000</v>
      </c>
      <c r="Q19" s="2">
        <f t="shared" si="6"/>
        <v>0</v>
      </c>
    </row>
    <row r="20" spans="1:17" x14ac:dyDescent="0.35">
      <c r="A20" s="2">
        <v>19</v>
      </c>
      <c r="B20" s="2" t="s">
        <v>58</v>
      </c>
      <c r="C20" s="2" t="s">
        <v>59</v>
      </c>
      <c r="D20" s="2" t="s">
        <v>60</v>
      </c>
      <c r="E20" s="2" t="s">
        <v>10</v>
      </c>
      <c r="F20" s="2" t="s">
        <v>55</v>
      </c>
      <c r="G20" s="2">
        <v>11250</v>
      </c>
      <c r="H20" s="3">
        <v>44231</v>
      </c>
      <c r="I20" s="4">
        <f t="shared" si="0"/>
        <v>562.5</v>
      </c>
      <c r="J20" s="2">
        <f t="shared" si="7"/>
        <v>0</v>
      </c>
      <c r="K20" s="2">
        <f t="shared" si="1"/>
        <v>0</v>
      </c>
      <c r="L20" s="2">
        <f t="shared" si="2"/>
        <v>5000</v>
      </c>
      <c r="M20" s="2">
        <f t="shared" si="3"/>
        <v>0</v>
      </c>
      <c r="N20" s="2">
        <f t="shared" si="4"/>
        <v>100</v>
      </c>
      <c r="O20" s="2" cm="1">
        <f t="array" ref="O20">_xlfn.IFS(G20&lt;5000,0,G20&lt;10000,50,G20&lt;15000,100,G20&lt;20000,150,G20&gt;=20000,200)</f>
        <v>100</v>
      </c>
      <c r="P20" s="2">
        <f t="shared" si="5"/>
        <v>0</v>
      </c>
      <c r="Q20" s="2">
        <f t="shared" si="6"/>
        <v>0</v>
      </c>
    </row>
    <row r="21" spans="1:17" x14ac:dyDescent="0.35">
      <c r="A21" s="2">
        <v>20</v>
      </c>
      <c r="B21" s="2" t="s">
        <v>61</v>
      </c>
      <c r="C21" s="2" t="s">
        <v>62</v>
      </c>
      <c r="D21" s="2" t="s">
        <v>19</v>
      </c>
      <c r="E21" s="2" t="s">
        <v>15</v>
      </c>
      <c r="F21" s="2" t="s">
        <v>11</v>
      </c>
      <c r="G21" s="2">
        <v>10000</v>
      </c>
      <c r="H21" s="3">
        <v>44775</v>
      </c>
      <c r="I21" s="4">
        <f t="shared" si="0"/>
        <v>0</v>
      </c>
      <c r="J21" s="2">
        <f t="shared" si="7"/>
        <v>0</v>
      </c>
      <c r="K21" s="2">
        <f t="shared" si="1"/>
        <v>0</v>
      </c>
      <c r="L21" s="2">
        <f t="shared" si="2"/>
        <v>0</v>
      </c>
      <c r="M21" s="2">
        <f t="shared" si="3"/>
        <v>3500</v>
      </c>
      <c r="N21" s="2">
        <f t="shared" si="4"/>
        <v>100</v>
      </c>
      <c r="O21" s="2" cm="1">
        <f t="array" ref="O21">_xlfn.IFS(G21&lt;5000,0,G21&lt;10000,50,G21&lt;15000,100,G21&lt;20000,150,G21&gt;=20000,200)</f>
        <v>100</v>
      </c>
      <c r="P21" s="2">
        <f t="shared" si="5"/>
        <v>0</v>
      </c>
      <c r="Q21" s="2">
        <f t="shared" si="6"/>
        <v>0</v>
      </c>
    </row>
    <row r="22" spans="1:17" x14ac:dyDescent="0.35">
      <c r="A22" s="8"/>
      <c r="B22" s="8" t="s">
        <v>83</v>
      </c>
      <c r="C22" s="9" t="s">
        <v>84</v>
      </c>
      <c r="D22" s="8"/>
      <c r="E22" s="8"/>
      <c r="F22" s="8"/>
      <c r="G22" s="8"/>
      <c r="H22" s="10"/>
      <c r="I22" s="11" t="s">
        <v>76</v>
      </c>
      <c r="J22" s="8" t="s">
        <v>76</v>
      </c>
      <c r="K22" s="8" t="s">
        <v>77</v>
      </c>
      <c r="L22" s="8" t="s">
        <v>78</v>
      </c>
      <c r="M22" s="8" t="s">
        <v>79</v>
      </c>
      <c r="N22" s="8" t="s">
        <v>80</v>
      </c>
      <c r="O22" s="8" t="s">
        <v>81</v>
      </c>
      <c r="P22" s="8" t="s">
        <v>78</v>
      </c>
      <c r="Q22" s="8" t="s">
        <v>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86FA-5038-48A3-9FFF-759B34E546B4}">
  <dimension ref="A1:Q35"/>
  <sheetViews>
    <sheetView tabSelected="1" zoomScale="107" zoomScaleNormal="107" workbookViewId="0">
      <selection activeCell="L10" sqref="L10"/>
    </sheetView>
  </sheetViews>
  <sheetFormatPr defaultRowHeight="14.5" x14ac:dyDescent="0.35"/>
  <cols>
    <col min="1" max="1" width="24.08984375" customWidth="1"/>
    <col min="2" max="2" width="16.6328125" customWidth="1"/>
    <col min="3" max="3" width="22.36328125" customWidth="1"/>
    <col min="4" max="4" width="14.08984375" customWidth="1"/>
    <col min="6" max="6" width="12.54296875" customWidth="1"/>
    <col min="7" max="7" width="9.453125" customWidth="1"/>
    <col min="8" max="8" width="14.453125" customWidth="1"/>
  </cols>
  <sheetData>
    <row r="1" spans="1:1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63</v>
      </c>
      <c r="I1" s="5" t="s">
        <v>64</v>
      </c>
      <c r="J1" s="5" t="s">
        <v>65</v>
      </c>
      <c r="K1" s="5" t="s">
        <v>66</v>
      </c>
      <c r="L1" s="5" t="s">
        <v>67</v>
      </c>
      <c r="M1" s="5" t="s">
        <v>68</v>
      </c>
      <c r="N1" s="5" t="s">
        <v>69</v>
      </c>
      <c r="O1" s="5" t="s">
        <v>70</v>
      </c>
      <c r="P1" s="5" t="s">
        <v>71</v>
      </c>
    </row>
    <row r="2" spans="1:17" x14ac:dyDescent="0.3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6250</v>
      </c>
      <c r="H2" s="3">
        <v>44698</v>
      </c>
      <c r="I2" s="2">
        <v>1875</v>
      </c>
      <c r="J2" s="2">
        <v>3250</v>
      </c>
      <c r="K2" s="2">
        <v>0</v>
      </c>
      <c r="L2" s="2">
        <v>750</v>
      </c>
      <c r="M2" s="2">
        <v>2500</v>
      </c>
      <c r="N2" s="2">
        <v>0</v>
      </c>
      <c r="O2" s="2">
        <v>3500</v>
      </c>
      <c r="P2" s="2">
        <v>50</v>
      </c>
      <c r="Q2" s="6"/>
    </row>
    <row r="3" spans="1:17" x14ac:dyDescent="0.35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8750</v>
      </c>
      <c r="H3" s="3">
        <v>44357</v>
      </c>
      <c r="I3" s="2">
        <v>2625</v>
      </c>
      <c r="J3" s="2">
        <v>4550</v>
      </c>
      <c r="K3" s="2">
        <v>0</v>
      </c>
      <c r="L3" s="2">
        <v>1050</v>
      </c>
      <c r="M3" s="2">
        <v>0</v>
      </c>
      <c r="N3" s="2">
        <v>5000</v>
      </c>
      <c r="O3" s="2">
        <v>0</v>
      </c>
      <c r="P3" s="2">
        <v>50</v>
      </c>
      <c r="Q3" s="6"/>
    </row>
    <row r="4" spans="1:17" x14ac:dyDescent="0.35">
      <c r="A4" s="2">
        <v>3</v>
      </c>
      <c r="B4" s="2" t="s">
        <v>17</v>
      </c>
      <c r="C4" s="2" t="s">
        <v>18</v>
      </c>
      <c r="D4" s="2" t="s">
        <v>19</v>
      </c>
      <c r="E4" s="2" t="s">
        <v>15</v>
      </c>
      <c r="F4" s="2" t="s">
        <v>20</v>
      </c>
      <c r="G4" s="2">
        <v>11250</v>
      </c>
      <c r="H4" s="3">
        <v>44767</v>
      </c>
      <c r="I4" s="2">
        <v>3375</v>
      </c>
      <c r="J4" s="2">
        <v>5850</v>
      </c>
      <c r="K4" s="2">
        <v>5000</v>
      </c>
      <c r="L4" s="2">
        <v>1350</v>
      </c>
      <c r="M4" s="2">
        <v>0</v>
      </c>
      <c r="N4" s="2">
        <v>0</v>
      </c>
      <c r="O4" s="2">
        <v>3500</v>
      </c>
      <c r="P4" s="2">
        <v>100</v>
      </c>
      <c r="Q4" s="6"/>
    </row>
    <row r="5" spans="1:17" x14ac:dyDescent="0.3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>
        <v>10000</v>
      </c>
      <c r="H5" s="3">
        <v>44592</v>
      </c>
      <c r="I5" s="2">
        <v>3000</v>
      </c>
      <c r="J5" s="2">
        <v>5200</v>
      </c>
      <c r="K5" s="2">
        <v>0</v>
      </c>
      <c r="L5" s="2">
        <v>1200</v>
      </c>
      <c r="M5" s="2">
        <v>0</v>
      </c>
      <c r="N5" s="2">
        <v>0</v>
      </c>
      <c r="O5" s="2">
        <v>3500</v>
      </c>
      <c r="P5" s="2">
        <v>100</v>
      </c>
      <c r="Q5" s="7"/>
    </row>
    <row r="6" spans="1:17" x14ac:dyDescent="0.35">
      <c r="A6" s="2">
        <v>5</v>
      </c>
      <c r="B6" s="2" t="s">
        <v>26</v>
      </c>
      <c r="C6" s="2" t="s">
        <v>27</v>
      </c>
      <c r="D6" s="2" t="s">
        <v>14</v>
      </c>
      <c r="E6" s="2" t="s">
        <v>15</v>
      </c>
      <c r="F6" s="2" t="s">
        <v>11</v>
      </c>
      <c r="G6" s="2">
        <v>16250</v>
      </c>
      <c r="H6" s="3">
        <v>44590</v>
      </c>
      <c r="I6" s="2">
        <v>4875</v>
      </c>
      <c r="J6" s="2">
        <v>8450</v>
      </c>
      <c r="K6" s="2">
        <v>0</v>
      </c>
      <c r="L6" s="2">
        <v>1950</v>
      </c>
      <c r="M6" s="2">
        <v>0</v>
      </c>
      <c r="N6" s="2">
        <v>0</v>
      </c>
      <c r="O6" s="2">
        <v>3500</v>
      </c>
      <c r="P6" s="2">
        <v>150</v>
      </c>
      <c r="Q6" s="7"/>
    </row>
    <row r="7" spans="1:17" x14ac:dyDescent="0.35">
      <c r="A7" s="2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16</v>
      </c>
      <c r="G7" s="2">
        <v>6400</v>
      </c>
      <c r="H7" s="3">
        <v>44359</v>
      </c>
      <c r="I7" s="2">
        <v>1920</v>
      </c>
      <c r="J7" s="2">
        <v>3328</v>
      </c>
      <c r="K7" s="2">
        <v>0</v>
      </c>
      <c r="L7" s="2">
        <v>768</v>
      </c>
      <c r="M7" s="2">
        <v>0</v>
      </c>
      <c r="N7" s="2">
        <v>5000</v>
      </c>
      <c r="O7" s="2">
        <v>0</v>
      </c>
      <c r="P7" s="2">
        <v>50</v>
      </c>
      <c r="Q7" s="7"/>
    </row>
    <row r="8" spans="1:17" x14ac:dyDescent="0.35">
      <c r="A8" s="2">
        <v>8</v>
      </c>
      <c r="B8" s="2" t="s">
        <v>35</v>
      </c>
      <c r="C8" s="2" t="s">
        <v>36</v>
      </c>
      <c r="D8" s="2" t="s">
        <v>34</v>
      </c>
      <c r="E8" s="2" t="s">
        <v>31</v>
      </c>
      <c r="F8" s="2" t="s">
        <v>25</v>
      </c>
      <c r="G8" s="2">
        <v>6275</v>
      </c>
      <c r="H8" s="3">
        <v>44642</v>
      </c>
      <c r="I8" s="2">
        <v>1882.5</v>
      </c>
      <c r="J8" s="2">
        <v>3263</v>
      </c>
      <c r="K8" s="2">
        <v>0</v>
      </c>
      <c r="L8" s="2">
        <v>753</v>
      </c>
      <c r="M8" s="2">
        <v>0</v>
      </c>
      <c r="N8" s="2">
        <v>0</v>
      </c>
      <c r="O8" s="2">
        <v>3500</v>
      </c>
      <c r="P8" s="2">
        <v>50</v>
      </c>
      <c r="Q8" s="7"/>
    </row>
    <row r="9" spans="1:17" x14ac:dyDescent="0.35">
      <c r="A9" s="2">
        <v>9</v>
      </c>
      <c r="B9" s="2" t="s">
        <v>37</v>
      </c>
      <c r="C9" s="2" t="s">
        <v>38</v>
      </c>
      <c r="D9" s="2" t="s">
        <v>9</v>
      </c>
      <c r="E9" s="2" t="s">
        <v>10</v>
      </c>
      <c r="F9" s="2" t="s">
        <v>11</v>
      </c>
      <c r="G9" s="2">
        <v>6250</v>
      </c>
      <c r="H9" s="3">
        <v>44690</v>
      </c>
      <c r="I9" s="2">
        <v>1875</v>
      </c>
      <c r="J9" s="2">
        <v>3250</v>
      </c>
      <c r="K9" s="2">
        <v>0</v>
      </c>
      <c r="L9" s="2">
        <v>750</v>
      </c>
      <c r="M9" s="2">
        <v>2500</v>
      </c>
      <c r="N9" s="2">
        <v>0</v>
      </c>
      <c r="O9" s="2">
        <v>3500</v>
      </c>
      <c r="P9" s="2">
        <v>50</v>
      </c>
      <c r="Q9" s="7"/>
    </row>
    <row r="10" spans="1:17" x14ac:dyDescent="0.35">
      <c r="A10" s="2">
        <v>10</v>
      </c>
      <c r="B10" s="2" t="s">
        <v>39</v>
      </c>
      <c r="C10" s="2" t="s">
        <v>40</v>
      </c>
      <c r="D10" s="2" t="s">
        <v>41</v>
      </c>
      <c r="E10" s="2" t="s">
        <v>24</v>
      </c>
      <c r="F10" s="2" t="s">
        <v>16</v>
      </c>
      <c r="G10" s="2">
        <v>8750</v>
      </c>
      <c r="H10" s="3">
        <v>44578</v>
      </c>
      <c r="I10" s="2">
        <v>2625</v>
      </c>
      <c r="J10" s="2">
        <v>4550</v>
      </c>
      <c r="K10" s="2">
        <v>0</v>
      </c>
      <c r="L10" s="2">
        <v>1050</v>
      </c>
      <c r="M10" s="2">
        <v>0</v>
      </c>
      <c r="N10" s="2">
        <v>5000</v>
      </c>
      <c r="O10" s="2">
        <v>0</v>
      </c>
      <c r="P10" s="2">
        <v>50</v>
      </c>
      <c r="Q10" s="7"/>
    </row>
    <row r="11" spans="1:17" x14ac:dyDescent="0.35">
      <c r="A11" s="2">
        <v>11</v>
      </c>
      <c r="B11" s="2" t="s">
        <v>42</v>
      </c>
      <c r="C11" s="2" t="s">
        <v>43</v>
      </c>
      <c r="D11" s="2" t="s">
        <v>41</v>
      </c>
      <c r="E11" s="2" t="s">
        <v>24</v>
      </c>
      <c r="F11" s="2" t="s">
        <v>20</v>
      </c>
      <c r="G11" s="2">
        <v>11250</v>
      </c>
      <c r="H11" s="3">
        <v>44683</v>
      </c>
      <c r="I11" s="2">
        <v>3375</v>
      </c>
      <c r="J11" s="2">
        <v>5850</v>
      </c>
      <c r="K11" s="2">
        <v>5000</v>
      </c>
      <c r="L11" s="2">
        <v>1350</v>
      </c>
      <c r="M11" s="2">
        <v>0</v>
      </c>
      <c r="N11" s="2">
        <v>0</v>
      </c>
      <c r="O11" s="2">
        <v>3500</v>
      </c>
      <c r="P11" s="2">
        <v>100</v>
      </c>
    </row>
    <row r="12" spans="1:17" x14ac:dyDescent="0.35">
      <c r="A12" s="2">
        <v>12</v>
      </c>
      <c r="B12" s="2" t="s">
        <v>44</v>
      </c>
      <c r="C12" s="2" t="s">
        <v>45</v>
      </c>
      <c r="D12" s="2" t="s">
        <v>46</v>
      </c>
      <c r="E12" s="2" t="s">
        <v>24</v>
      </c>
      <c r="F12" s="2" t="s">
        <v>25</v>
      </c>
      <c r="G12" s="2">
        <v>10000</v>
      </c>
      <c r="H12" s="3">
        <v>44817</v>
      </c>
      <c r="I12" s="2">
        <v>3000</v>
      </c>
      <c r="J12" s="2">
        <v>5200</v>
      </c>
      <c r="K12" s="2">
        <v>0</v>
      </c>
      <c r="L12" s="2">
        <v>1200</v>
      </c>
      <c r="M12" s="2">
        <v>0</v>
      </c>
      <c r="N12" s="2">
        <v>0</v>
      </c>
      <c r="O12" s="2">
        <v>3500</v>
      </c>
      <c r="P12" s="2">
        <v>100</v>
      </c>
      <c r="Q12" s="6"/>
    </row>
    <row r="13" spans="1:17" x14ac:dyDescent="0.35">
      <c r="A13" s="2">
        <v>13</v>
      </c>
      <c r="B13" s="2" t="s">
        <v>47</v>
      </c>
      <c r="C13" s="2" t="s">
        <v>13</v>
      </c>
      <c r="D13" s="2" t="s">
        <v>48</v>
      </c>
      <c r="E13" s="2" t="s">
        <v>24</v>
      </c>
      <c r="F13" s="2" t="s">
        <v>11</v>
      </c>
      <c r="G13" s="2">
        <v>16250</v>
      </c>
      <c r="H13" s="3">
        <v>44397</v>
      </c>
      <c r="I13" s="2">
        <v>4875</v>
      </c>
      <c r="J13" s="2">
        <v>8450</v>
      </c>
      <c r="K13" s="2">
        <v>0</v>
      </c>
      <c r="L13" s="2">
        <v>1950</v>
      </c>
      <c r="M13" s="2">
        <v>0</v>
      </c>
      <c r="N13" s="2">
        <v>0</v>
      </c>
      <c r="O13" s="2">
        <v>3500</v>
      </c>
      <c r="P13" s="2">
        <v>150</v>
      </c>
      <c r="Q13" s="7"/>
    </row>
    <row r="14" spans="1:17" x14ac:dyDescent="0.35">
      <c r="A14" s="2">
        <v>14</v>
      </c>
      <c r="B14" s="2" t="s">
        <v>49</v>
      </c>
      <c r="C14" s="2" t="s">
        <v>18</v>
      </c>
      <c r="D14" s="2" t="s">
        <v>46</v>
      </c>
      <c r="E14" s="2" t="s">
        <v>24</v>
      </c>
      <c r="F14" s="2" t="s">
        <v>16</v>
      </c>
      <c r="G14" s="2">
        <v>6400</v>
      </c>
      <c r="H14" s="3">
        <v>44406</v>
      </c>
      <c r="I14" s="2">
        <v>1920</v>
      </c>
      <c r="J14" s="2">
        <v>3328</v>
      </c>
      <c r="K14" s="2">
        <v>0</v>
      </c>
      <c r="L14" s="2">
        <v>768</v>
      </c>
      <c r="M14" s="2">
        <v>0</v>
      </c>
      <c r="N14" s="2">
        <v>5000</v>
      </c>
      <c r="O14" s="2">
        <v>0</v>
      </c>
      <c r="P14" s="2">
        <v>50</v>
      </c>
      <c r="Q14" s="7"/>
    </row>
    <row r="15" spans="1:17" x14ac:dyDescent="0.35">
      <c r="A15" s="2">
        <v>16</v>
      </c>
      <c r="B15" s="2" t="s">
        <v>52</v>
      </c>
      <c r="C15" s="2" t="s">
        <v>36</v>
      </c>
      <c r="D15" s="2" t="s">
        <v>46</v>
      </c>
      <c r="E15" s="2" t="s">
        <v>24</v>
      </c>
      <c r="F15" s="2" t="s">
        <v>25</v>
      </c>
      <c r="G15" s="2">
        <v>6275</v>
      </c>
      <c r="H15" s="3">
        <v>44688</v>
      </c>
      <c r="I15" s="2">
        <v>1882.5</v>
      </c>
      <c r="J15" s="2">
        <v>3263</v>
      </c>
      <c r="K15" s="2">
        <v>0</v>
      </c>
      <c r="L15" s="2">
        <v>753</v>
      </c>
      <c r="M15" s="2">
        <v>0</v>
      </c>
      <c r="N15" s="2">
        <v>0</v>
      </c>
      <c r="O15" s="2">
        <v>3500</v>
      </c>
      <c r="P15" s="2">
        <v>50</v>
      </c>
    </row>
    <row r="16" spans="1:17" x14ac:dyDescent="0.35">
      <c r="A16" s="2">
        <v>17</v>
      </c>
      <c r="B16" s="2" t="s">
        <v>53</v>
      </c>
      <c r="C16" s="2" t="s">
        <v>54</v>
      </c>
      <c r="D16" s="2" t="s">
        <v>9</v>
      </c>
      <c r="E16" s="2" t="s">
        <v>10</v>
      </c>
      <c r="F16" s="2" t="s">
        <v>55</v>
      </c>
      <c r="G16" s="2">
        <v>6250</v>
      </c>
      <c r="H16" s="3">
        <v>44842</v>
      </c>
      <c r="I16" s="2">
        <v>1875</v>
      </c>
      <c r="J16" s="2">
        <v>3250</v>
      </c>
      <c r="K16" s="2">
        <v>0</v>
      </c>
      <c r="L16" s="2">
        <v>750</v>
      </c>
      <c r="M16" s="2">
        <v>0</v>
      </c>
      <c r="N16" s="2">
        <v>5000</v>
      </c>
      <c r="O16" s="2">
        <v>0</v>
      </c>
      <c r="P16" s="2">
        <v>50</v>
      </c>
    </row>
    <row r="17" spans="1:16" x14ac:dyDescent="0.35">
      <c r="A17" s="2">
        <v>18</v>
      </c>
      <c r="B17" s="2" t="s">
        <v>56</v>
      </c>
      <c r="C17" s="2" t="s">
        <v>57</v>
      </c>
      <c r="D17" s="2" t="s">
        <v>9</v>
      </c>
      <c r="E17" s="2" t="s">
        <v>10</v>
      </c>
      <c r="F17" s="2" t="s">
        <v>25</v>
      </c>
      <c r="G17" s="2">
        <v>8750</v>
      </c>
      <c r="H17" s="3">
        <v>44830</v>
      </c>
      <c r="I17" s="2">
        <v>2625</v>
      </c>
      <c r="J17" s="2">
        <v>4550</v>
      </c>
      <c r="K17" s="2">
        <v>0</v>
      </c>
      <c r="L17" s="2">
        <v>1050</v>
      </c>
      <c r="M17" s="2">
        <v>0</v>
      </c>
      <c r="N17" s="2">
        <v>0</v>
      </c>
      <c r="O17" s="2">
        <v>3500</v>
      </c>
      <c r="P17" s="2">
        <v>50</v>
      </c>
    </row>
    <row r="18" spans="1:16" x14ac:dyDescent="0.35">
      <c r="A18" s="2">
        <v>19</v>
      </c>
      <c r="B18" s="2" t="s">
        <v>58</v>
      </c>
      <c r="C18" s="2" t="s">
        <v>59</v>
      </c>
      <c r="D18" s="2" t="s">
        <v>60</v>
      </c>
      <c r="E18" s="2" t="s">
        <v>10</v>
      </c>
      <c r="F18" s="2" t="s">
        <v>55</v>
      </c>
      <c r="G18" s="2">
        <v>11250</v>
      </c>
      <c r="H18" s="3">
        <v>44231</v>
      </c>
      <c r="I18" s="2">
        <v>3375</v>
      </c>
      <c r="J18" s="2">
        <v>5850</v>
      </c>
      <c r="K18" s="2">
        <v>0</v>
      </c>
      <c r="L18" s="2">
        <v>1350</v>
      </c>
      <c r="M18" s="2">
        <v>0</v>
      </c>
      <c r="N18" s="2">
        <v>5000</v>
      </c>
      <c r="O18" s="2">
        <v>0</v>
      </c>
      <c r="P18" s="2">
        <v>100</v>
      </c>
    </row>
    <row r="19" spans="1:16" x14ac:dyDescent="0.35">
      <c r="A19" s="2">
        <v>20</v>
      </c>
      <c r="B19" s="2" t="s">
        <v>61</v>
      </c>
      <c r="C19" s="2" t="s">
        <v>62</v>
      </c>
      <c r="D19" s="2" t="s">
        <v>19</v>
      </c>
      <c r="E19" s="2" t="s">
        <v>15</v>
      </c>
      <c r="F19" s="2" t="s">
        <v>11</v>
      </c>
      <c r="G19" s="2">
        <v>10000</v>
      </c>
      <c r="H19" s="3">
        <v>44775</v>
      </c>
      <c r="I19" s="2">
        <v>3000</v>
      </c>
      <c r="J19" s="2">
        <v>5200</v>
      </c>
      <c r="K19" s="2">
        <v>0</v>
      </c>
      <c r="L19" s="2">
        <v>1200</v>
      </c>
      <c r="M19" s="2">
        <v>0</v>
      </c>
      <c r="N19" s="2">
        <v>0</v>
      </c>
      <c r="O19" s="2">
        <v>3500</v>
      </c>
      <c r="P19" s="2">
        <v>100</v>
      </c>
    </row>
    <row r="20" spans="1:16" x14ac:dyDescent="0.35">
      <c r="A20" s="2">
        <v>7</v>
      </c>
      <c r="B20" s="2" t="s">
        <v>32</v>
      </c>
      <c r="C20" s="2" t="s">
        <v>33</v>
      </c>
      <c r="D20" s="2" t="s">
        <v>34</v>
      </c>
      <c r="E20" s="2" t="s">
        <v>31</v>
      </c>
      <c r="F20" s="2" t="s">
        <v>20</v>
      </c>
      <c r="G20" s="2">
        <v>4500</v>
      </c>
      <c r="H20" s="3">
        <v>44324</v>
      </c>
      <c r="I20" s="2">
        <v>1350</v>
      </c>
      <c r="J20" s="2">
        <v>2340</v>
      </c>
      <c r="K20" s="2">
        <v>5000</v>
      </c>
      <c r="L20" s="2">
        <v>540</v>
      </c>
      <c r="M20" s="2">
        <v>0</v>
      </c>
      <c r="N20" s="2">
        <v>0</v>
      </c>
      <c r="O20" s="2">
        <v>3500</v>
      </c>
      <c r="P20" s="2">
        <v>0</v>
      </c>
    </row>
    <row r="21" spans="1:16" x14ac:dyDescent="0.35">
      <c r="A21" s="2">
        <v>15</v>
      </c>
      <c r="B21" s="2" t="s">
        <v>50</v>
      </c>
      <c r="C21" s="2" t="s">
        <v>51</v>
      </c>
      <c r="D21" s="2" t="s">
        <v>14</v>
      </c>
      <c r="E21" s="2" t="s">
        <v>15</v>
      </c>
      <c r="F21" s="2" t="s">
        <v>20</v>
      </c>
      <c r="G21" s="2">
        <v>4500</v>
      </c>
      <c r="H21" s="3">
        <v>44565</v>
      </c>
      <c r="I21" s="2">
        <v>1350</v>
      </c>
      <c r="J21" s="2">
        <v>2340</v>
      </c>
      <c r="K21" s="2">
        <v>5000</v>
      </c>
      <c r="L21" s="2">
        <v>540</v>
      </c>
      <c r="M21" s="2">
        <v>0</v>
      </c>
      <c r="N21" s="2">
        <v>0</v>
      </c>
      <c r="O21" s="2">
        <v>3500</v>
      </c>
      <c r="P21" s="2">
        <v>0</v>
      </c>
    </row>
    <row r="22" spans="1:16" x14ac:dyDescent="0.35">
      <c r="A22" s="2" t="s">
        <v>96</v>
      </c>
      <c r="B22" s="2" t="s">
        <v>86</v>
      </c>
      <c r="C22" s="2" t="s">
        <v>87</v>
      </c>
      <c r="D22" s="2"/>
      <c r="E22" s="2"/>
      <c r="F22" s="2"/>
      <c r="G22" s="2" t="s">
        <v>88</v>
      </c>
      <c r="H22" s="2" t="s">
        <v>89</v>
      </c>
    </row>
    <row r="23" spans="1:16" x14ac:dyDescent="0.35">
      <c r="A23" s="16" t="s">
        <v>85</v>
      </c>
      <c r="B23" s="16"/>
      <c r="C23" s="16"/>
      <c r="D23" s="16"/>
      <c r="E23" s="16"/>
      <c r="F23" s="13"/>
    </row>
    <row r="25" spans="1:16" x14ac:dyDescent="0.35">
      <c r="A25" s="12" t="s">
        <v>1</v>
      </c>
      <c r="B25" s="12" t="s">
        <v>90</v>
      </c>
      <c r="C25" s="14" t="s">
        <v>91</v>
      </c>
      <c r="D25" s="12" t="s">
        <v>97</v>
      </c>
      <c r="E25" s="12" t="s">
        <v>99</v>
      </c>
      <c r="F25" s="12" t="s">
        <v>100</v>
      </c>
    </row>
    <row r="26" spans="1:16" x14ac:dyDescent="0.35">
      <c r="A26" s="2" t="s">
        <v>7</v>
      </c>
      <c r="B26" s="2">
        <v>50</v>
      </c>
      <c r="C26" s="15" t="s">
        <v>92</v>
      </c>
      <c r="D26" s="2">
        <v>100</v>
      </c>
      <c r="E26" s="2" t="s">
        <v>101</v>
      </c>
      <c r="F26" s="2">
        <v>29</v>
      </c>
    </row>
    <row r="27" spans="1:16" x14ac:dyDescent="0.35">
      <c r="A27" s="2" t="s">
        <v>12</v>
      </c>
      <c r="B27" s="2">
        <v>15</v>
      </c>
      <c r="C27" s="15" t="s">
        <v>93</v>
      </c>
      <c r="D27" s="2">
        <v>40</v>
      </c>
      <c r="E27" s="2" t="s">
        <v>102</v>
      </c>
      <c r="F27" s="2">
        <v>29</v>
      </c>
    </row>
    <row r="28" spans="1:16" x14ac:dyDescent="0.35">
      <c r="A28" s="2" t="s">
        <v>17</v>
      </c>
      <c r="B28" s="2">
        <v>14</v>
      </c>
      <c r="C28" s="15" t="s">
        <v>94</v>
      </c>
      <c r="D28" s="2">
        <v>60</v>
      </c>
      <c r="E28" s="2" t="s">
        <v>103</v>
      </c>
      <c r="F28" s="2">
        <v>12</v>
      </c>
    </row>
    <row r="29" spans="1:16" x14ac:dyDescent="0.35">
      <c r="A29" s="2" t="s">
        <v>21</v>
      </c>
      <c r="B29" s="2">
        <v>31</v>
      </c>
      <c r="D29" s="2">
        <v>70</v>
      </c>
      <c r="E29" s="2" t="s">
        <v>104</v>
      </c>
      <c r="F29" s="2">
        <v>-12</v>
      </c>
    </row>
    <row r="30" spans="1:16" x14ac:dyDescent="0.35">
      <c r="A30" s="2" t="s">
        <v>26</v>
      </c>
      <c r="B30" s="2">
        <v>50</v>
      </c>
      <c r="D30" s="2">
        <v>20</v>
      </c>
      <c r="E30" s="2" t="s">
        <v>105</v>
      </c>
      <c r="F30" s="2">
        <v>2</v>
      </c>
    </row>
    <row r="31" spans="1:16" x14ac:dyDescent="0.35">
      <c r="A31" s="2" t="s">
        <v>28</v>
      </c>
      <c r="B31" s="2">
        <v>28</v>
      </c>
      <c r="D31" s="2">
        <v>10</v>
      </c>
      <c r="E31" s="2" t="s">
        <v>106</v>
      </c>
      <c r="F31" s="2">
        <v>-3</v>
      </c>
    </row>
    <row r="32" spans="1:16" x14ac:dyDescent="0.35">
      <c r="A32" s="2" t="s">
        <v>35</v>
      </c>
      <c r="B32" s="2">
        <v>45</v>
      </c>
      <c r="D32" s="2">
        <v>35</v>
      </c>
      <c r="E32" s="2" t="s">
        <v>107</v>
      </c>
      <c r="F32" s="2">
        <v>-15</v>
      </c>
    </row>
    <row r="33" spans="1:6" x14ac:dyDescent="0.35">
      <c r="A33" s="2" t="s">
        <v>37</v>
      </c>
      <c r="B33" s="2">
        <v>10</v>
      </c>
      <c r="D33" s="2">
        <v>55</v>
      </c>
      <c r="E33" s="2" t="s">
        <v>108</v>
      </c>
      <c r="F33" s="2">
        <v>-10</v>
      </c>
    </row>
    <row r="34" spans="1:6" x14ac:dyDescent="0.35">
      <c r="A34" s="2" t="s">
        <v>39</v>
      </c>
      <c r="B34" s="2">
        <v>33</v>
      </c>
      <c r="D34" s="2">
        <v>33</v>
      </c>
      <c r="E34" s="2" t="s">
        <v>109</v>
      </c>
      <c r="F34" s="2">
        <v>30</v>
      </c>
    </row>
    <row r="35" spans="1:6" x14ac:dyDescent="0.35">
      <c r="A35" s="2" t="s">
        <v>96</v>
      </c>
      <c r="B35" s="2" t="s">
        <v>95</v>
      </c>
      <c r="D35" s="2" t="s">
        <v>98</v>
      </c>
      <c r="F35" s="2" t="s">
        <v>110</v>
      </c>
    </row>
  </sheetData>
  <sortState xmlns:xlrd2="http://schemas.microsoft.com/office/spreadsheetml/2017/richdata2" ref="A2:Q21">
    <sortCondition sortBy="icon" ref="J2:J21" iconSet="3Arrows" iconId="2"/>
  </sortState>
  <mergeCells count="1">
    <mergeCell ref="A23:E23"/>
  </mergeCells>
  <conditionalFormatting sqref="B2:B21">
    <cfRule type="uniqueValues" dxfId="9" priority="12"/>
    <cfRule type="duplicateValues" dxfId="8" priority="13"/>
  </conditionalFormatting>
  <conditionalFormatting sqref="B26:B34">
    <cfRule type="top10" dxfId="7" priority="8" bottom="1" rank="2"/>
    <cfRule type="top10" dxfId="6" priority="9" rank="2"/>
  </conditionalFormatting>
  <conditionalFormatting sqref="C2:C22 C25">
    <cfRule type="containsText" dxfId="5" priority="18" operator="containsText" text="Road">
      <formula>NOT(ISERROR(SEARCH("Road",C2)))</formula>
    </cfRule>
  </conditionalFormatting>
  <conditionalFormatting sqref="D26:D3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{F2708CE6-6100-4BB8-A79F-D9ABF360F91D}</x14:id>
        </ext>
      </extLst>
    </cfRule>
  </conditionalFormatting>
  <conditionalFormatting sqref="G2:G21">
    <cfRule type="cellIs" dxfId="4" priority="19" operator="greaterThan">
      <formula>10000</formula>
    </cfRule>
    <cfRule type="cellIs" dxfId="3" priority="20" operator="lessThan">
      <formula>8000</formula>
    </cfRule>
    <cfRule type="expression" dxfId="2" priority="21">
      <formula>"G2&gt;8000"</formula>
    </cfRule>
  </conditionalFormatting>
  <conditionalFormatting sqref="H1:H21">
    <cfRule type="cellIs" dxfId="1" priority="14" operator="between">
      <formula>44197</formula>
      <formula>44561</formula>
    </cfRule>
    <cfRule type="cellIs" dxfId="0" priority="16" operator="between">
      <formula>44470</formula>
      <formula>44571</formula>
    </cfRule>
  </conditionalFormatting>
  <conditionalFormatting sqref="J2:J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{DB0119E0-BC9F-4A28-B7DB-061BE7390186}</x14:id>
        </ext>
      </extLst>
    </cfRule>
  </conditionalFormatting>
  <conditionalFormatting sqref="P2:P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{E2D8713B-AA20-456A-A656-E3B23F6271FE}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708CE6-6100-4BB8-A79F-D9ABF360F9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D26:D34</xm:sqref>
        </x14:conditionalFormatting>
        <x14:conditionalFormatting xmlns:xm="http://schemas.microsoft.com/office/excel/2006/main">
          <x14:cfRule type="iconSet" priority="2" id="{D173D2E1-B2AC-4579-ABB6-A25B02524CB1}">
            <x14:iconSet custom="1">
              <x14:cfvo type="percent">
                <xm:f>0</xm:f>
              </x14:cfvo>
              <x14:cfvo type="num">
                <xm:f>-100</xm:f>
              </x14:cfvo>
              <x14:cfvo type="num" gte="0">
                <xm:f>0</xm:f>
              </x14:cfvo>
              <x14:cfIcon iconSet="3TrafficLights1" iconId="0"/>
              <x14:cfIcon iconSet="3Arrows" iconId="0"/>
              <x14:cfIcon iconSet="3Arrows" iconId="2"/>
            </x14:iconSet>
          </x14:cfRule>
          <xm:sqref>F26:F34</xm:sqref>
        </x14:conditionalFormatting>
        <x14:conditionalFormatting xmlns:xm="http://schemas.microsoft.com/office/excel/2006/main">
          <x14:cfRule type="dataBar" id="{DB0119E0-BC9F-4A28-B7DB-061BE7390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J2:J21</xm:sqref>
        </x14:conditionalFormatting>
        <x14:conditionalFormatting xmlns:xm="http://schemas.microsoft.com/office/excel/2006/main">
          <x14:cfRule type="dataBar" id="{E2D8713B-AA20-456A-A656-E3B23F6271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P2:P21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Logical functions</vt:lpstr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</dc:creator>
  <cp:lastModifiedBy>Singh, Ankita {PEP}</cp:lastModifiedBy>
  <dcterms:created xsi:type="dcterms:W3CDTF">2022-04-20T13:34:41Z</dcterms:created>
  <dcterms:modified xsi:type="dcterms:W3CDTF">2025-11-15T18:12:01Z</dcterms:modified>
</cp:coreProperties>
</file>