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psico-my.sharepoint.com/personal/ankita_singh1_pepsico_com/Documents/Desktop/pp/Notes/DA_S/Data Analytics Skill Up/Excel Class Data and notes/"/>
    </mc:Choice>
  </mc:AlternateContent>
  <xr:revisionPtr revIDLastSave="230" documentId="13_ncr:1_{482C60F6-E5E6-46C8-89FA-B5BA08AB5913}" xr6:coauthVersionLast="47" xr6:coauthVersionMax="47" xr10:uidLastSave="{847D73A1-CB91-4232-9385-CE3382CAA410}"/>
  <bookViews>
    <workbookView xWindow="-110" yWindow="-110" windowWidth="19420" windowHeight="11500" tabRatio="923" activeTab="1" xr2:uid="{00000000-000D-0000-FFFF-FFFF00000000}"/>
  </bookViews>
  <sheets>
    <sheet name="Referencing" sheetId="13" r:id="rId1"/>
    <sheet name="Source(Vlookup)" sheetId="11" r:id="rId2"/>
  </sheets>
  <definedNames>
    <definedName name="Main_Table1">'Source(Vlookup)'!$A$1:$G$21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1" l="1"/>
  <c r="K7" i="11"/>
  <c r="K8" i="11"/>
  <c r="K9" i="11"/>
  <c r="K10" i="11"/>
  <c r="K11" i="11"/>
  <c r="K5" i="11"/>
  <c r="J6" i="11"/>
  <c r="J7" i="11"/>
  <c r="J8" i="11"/>
  <c r="J9" i="11"/>
  <c r="J10" i="11"/>
  <c r="J11" i="11"/>
  <c r="J5" i="11"/>
  <c r="H19" i="13"/>
  <c r="I19" i="13"/>
  <c r="J19" i="13"/>
  <c r="K19" i="13"/>
  <c r="L19" i="13"/>
  <c r="G19" i="13"/>
  <c r="H6" i="13"/>
  <c r="H7" i="13"/>
  <c r="H8" i="13"/>
  <c r="H9" i="13"/>
  <c r="H10" i="13"/>
  <c r="H5" i="13"/>
  <c r="C15" i="13"/>
  <c r="D15" i="13"/>
  <c r="E15" i="13"/>
  <c r="F15" i="13"/>
  <c r="B15" i="13"/>
  <c r="D6" i="13"/>
  <c r="D7" i="13"/>
  <c r="D8" i="13"/>
  <c r="D9" i="13"/>
  <c r="D10" i="13"/>
  <c r="D11" i="13"/>
  <c r="D5" i="13"/>
  <c r="I7" i="13"/>
  <c r="E10" i="13"/>
  <c r="I8" i="13"/>
  <c r="E11" i="13"/>
  <c r="E5" i="13"/>
  <c r="I9" i="13"/>
  <c r="E7" i="13"/>
  <c r="D16" i="13"/>
  <c r="I10" i="13"/>
  <c r="H20" i="13"/>
  <c r="C16" i="13"/>
  <c r="I20" i="13"/>
  <c r="E9" i="13"/>
  <c r="J20" i="13"/>
  <c r="E16" i="13"/>
  <c r="F16" i="13"/>
  <c r="I5" i="13"/>
  <c r="K20" i="13"/>
  <c r="L20" i="13"/>
  <c r="B16" i="13"/>
  <c r="E6" i="13"/>
  <c r="I6" i="13"/>
  <c r="G20" i="13"/>
  <c r="E8" i="13"/>
</calcChain>
</file>

<file path=xl/sharedStrings.xml><?xml version="1.0" encoding="utf-8"?>
<sst xmlns="http://schemas.openxmlformats.org/spreadsheetml/2006/main" count="152" uniqueCount="97">
  <si>
    <t>Emp Code</t>
  </si>
  <si>
    <t>Employee Name</t>
  </si>
  <si>
    <t>Address</t>
  </si>
  <si>
    <t>City</t>
  </si>
  <si>
    <t>Department</t>
  </si>
  <si>
    <t>Basic</t>
  </si>
  <si>
    <t>JP Kumar</t>
  </si>
  <si>
    <t>Andheri (W)</t>
  </si>
  <si>
    <t>Mumbai</t>
  </si>
  <si>
    <t>Training</t>
  </si>
  <si>
    <t>Anjali Thakur</t>
  </si>
  <si>
    <t>Govindpuri</t>
  </si>
  <si>
    <t>Delhi</t>
  </si>
  <si>
    <t>Accounts</t>
  </si>
  <si>
    <t>Priya Agarwal</t>
  </si>
  <si>
    <t>Sector 9</t>
  </si>
  <si>
    <t>Noida</t>
  </si>
  <si>
    <t>Marketing</t>
  </si>
  <si>
    <t>R Vasu</t>
  </si>
  <si>
    <t>Egmore</t>
  </si>
  <si>
    <t>Chennai</t>
  </si>
  <si>
    <t>R&amp;D</t>
  </si>
  <si>
    <t>Sanjay Gupta</t>
  </si>
  <si>
    <t>G K - II</t>
  </si>
  <si>
    <t>Jharna Biswal</t>
  </si>
  <si>
    <t>Link Road</t>
  </si>
  <si>
    <t>Cuttack</t>
  </si>
  <si>
    <t>Prakash Dutta</t>
  </si>
  <si>
    <t>Elgin Road</t>
  </si>
  <si>
    <t>Kolkata</t>
  </si>
  <si>
    <t>Manisha Guha</t>
  </si>
  <si>
    <t>Alipore</t>
  </si>
  <si>
    <t>Arjun Jain</t>
  </si>
  <si>
    <t>MG Road</t>
  </si>
  <si>
    <t>pune</t>
  </si>
  <si>
    <t>Arjun Kapoor</t>
  </si>
  <si>
    <t>Kormangala</t>
  </si>
  <si>
    <t>karimnagar</t>
  </si>
  <si>
    <t>Abrar</t>
  </si>
  <si>
    <t>Jayanagar</t>
  </si>
  <si>
    <t>Bangalore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</si>
  <si>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</si>
  <si>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</si>
  <si>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</si>
  <si>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</si>
  <si>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</si>
  <si>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</si>
  <si>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</si>
  <si>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</si>
  <si>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</si>
  <si>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</si>
  <si>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</si>
  <si>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</si>
  <si>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</si>
  <si>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</si>
  <si>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</si>
  <si>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</si>
  <si>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</si>
  <si>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</si>
  <si>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</si>
  <si>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Region</t>
  </si>
  <si>
    <t>W</t>
  </si>
  <si>
    <t>N</t>
  </si>
  <si>
    <t>S</t>
  </si>
  <si>
    <t>E</t>
  </si>
  <si>
    <t>Basic Salary</t>
  </si>
  <si>
    <t>Tax</t>
  </si>
  <si>
    <t>Salary</t>
  </si>
  <si>
    <t>Ansu</t>
  </si>
  <si>
    <t>Asha</t>
  </si>
  <si>
    <t>Manish</t>
  </si>
  <si>
    <t>Hari</t>
  </si>
  <si>
    <t>Shyam</t>
  </si>
  <si>
    <t>Ram</t>
  </si>
  <si>
    <t>Emp Name</t>
  </si>
  <si>
    <t>frooty</t>
  </si>
  <si>
    <t>7-Up</t>
  </si>
  <si>
    <t>Team</t>
  </si>
  <si>
    <t>Miranda</t>
  </si>
  <si>
    <t>Slice</t>
  </si>
  <si>
    <t>coke</t>
  </si>
  <si>
    <t>Pepsi</t>
  </si>
  <si>
    <t>Amount</t>
  </si>
  <si>
    <t>Rate</t>
  </si>
  <si>
    <t>Quantity</t>
  </si>
  <si>
    <t>Product Name</t>
  </si>
  <si>
    <t>Absolute Referencing Demo</t>
  </si>
  <si>
    <t>Relative Demo</t>
  </si>
  <si>
    <t>Tax Rate</t>
  </si>
  <si>
    <t>Referencing --&gt; Refering to the data present in some other cell</t>
  </si>
  <si>
    <t>Formulas</t>
  </si>
  <si>
    <t>Relative Referencing--&gt; When we drag up to down rows change and while dragging across column change</t>
  </si>
  <si>
    <t>Data</t>
  </si>
  <si>
    <t>Values</t>
  </si>
  <si>
    <t>Absolute referencing --&gt; keeping something fixed</t>
  </si>
  <si>
    <t>$ --&gt; keep the row or column or both fixed(Fn+F4)</t>
  </si>
  <si>
    <t>Lookup --&gt; find/search/looking for a value in some data. Searching starts from left in V/H/X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</si>
</sst>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0" xfId="0" applyNumberFormat="1"/>
    <xf numFmtId="0" fontId="0" fillId="0" borderId="6" xfId="0" applyBorder="1"/>
    <xf numFmtId="0" fontId="0" fillId="0" borderId="7" xfId="0" applyBorder="1"/>
    <xf numFmtId="0" fontId="1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6" xfId="0" applyFill="1" applyBorder="1"/>
    <xf numFmtId="0" fontId="0" fillId="3" borderId="5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DE320-F718-478A-AECF-2CE4F8227A0C}">
  <dimension ref="A1:N20"/>
  <sheetViews>
    <sheetView workbookViewId="0">
      <selection activeCell="N7" sqref="N7"/>
    </sheetView>
  </sheetViews>
  <sheetFormatPr defaultRowHeight="14.5" x14ac:dyDescent="0.35"/>
  <cols>
    <col min="6" max="6" width="12.81640625" customWidth="1"/>
    <col min="13" max="13" width="9.6328125" customWidth="1"/>
  </cols>
  <sheetData>
    <row r="1" spans="1:14" x14ac:dyDescent="0.35">
      <c r="A1" s="15" t="s">
        <v>89</v>
      </c>
      <c r="B1" s="15"/>
      <c r="C1" s="15"/>
      <c r="D1" s="15"/>
      <c r="E1" s="15"/>
      <c r="F1" s="15"/>
      <c r="J1" t="s">
        <v>88</v>
      </c>
    </row>
    <row r="2" spans="1:14" x14ac:dyDescent="0.35">
      <c r="J2" s="7">
        <v>0.1</v>
      </c>
    </row>
    <row r="3" spans="1:14" x14ac:dyDescent="0.35">
      <c r="A3" s="12" t="s">
        <v>87</v>
      </c>
      <c r="B3" s="13"/>
      <c r="C3" s="13"/>
      <c r="D3" s="14"/>
      <c r="F3" s="12" t="s">
        <v>86</v>
      </c>
      <c r="G3" s="13"/>
      <c r="H3" s="13"/>
      <c r="I3" s="9"/>
      <c r="J3" s="16" t="s">
        <v>95</v>
      </c>
      <c r="K3" s="17"/>
      <c r="L3" s="17"/>
      <c r="M3" s="17"/>
      <c r="N3" s="17"/>
    </row>
    <row r="4" spans="1:14" x14ac:dyDescent="0.35">
      <c r="A4" s="3" t="s">
        <v>85</v>
      </c>
      <c r="B4" s="3" t="s">
        <v>84</v>
      </c>
      <c r="C4" s="3" t="s">
        <v>83</v>
      </c>
      <c r="D4" s="3" t="s">
        <v>82</v>
      </c>
      <c r="E4" s="3" t="s">
        <v>90</v>
      </c>
      <c r="F4" s="5" t="s">
        <v>74</v>
      </c>
      <c r="G4" s="3" t="s">
        <v>67</v>
      </c>
      <c r="H4" s="8" t="s">
        <v>66</v>
      </c>
      <c r="I4" s="9"/>
      <c r="J4" s="15" t="s">
        <v>94</v>
      </c>
      <c r="K4" s="15"/>
      <c r="L4" s="15"/>
      <c r="M4" s="15"/>
      <c r="N4" s="15"/>
    </row>
    <row r="5" spans="1:14" x14ac:dyDescent="0.35">
      <c r="A5" s="3" t="s">
        <v>81</v>
      </c>
      <c r="B5" s="3">
        <v>23</v>
      </c>
      <c r="C5" s="3">
        <v>6.7</v>
      </c>
      <c r="D5" s="3">
        <f>B5*C5</f>
        <v>154.1</v>
      </c>
      <c r="E5" s="3" t="str">
        <f ca="1">_xlfn.FORMULATEXT(D5)</f>
        <v>=B5*C5</v>
      </c>
      <c r="F5" s="5" t="s">
        <v>73</v>
      </c>
      <c r="G5" s="3">
        <v>8900</v>
      </c>
      <c r="H5" s="8">
        <f>G5*J$2</f>
        <v>890</v>
      </c>
      <c r="I5" s="9" t="str">
        <f ca="1">_xlfn.FORMULATEXT(H5)</f>
        <v>=G5*J$2</v>
      </c>
    </row>
    <row r="6" spans="1:14" x14ac:dyDescent="0.35">
      <c r="A6" s="3" t="s">
        <v>80</v>
      </c>
      <c r="B6" s="3">
        <v>443</v>
      </c>
      <c r="C6" s="3">
        <v>4.5</v>
      </c>
      <c r="D6" s="3">
        <f t="shared" ref="D6:D11" si="0">B6*C6</f>
        <v>1993.5</v>
      </c>
      <c r="E6" s="3" t="str">
        <f t="shared" ref="E6:E11" ca="1" si="1">_xlfn.FORMULATEXT(D6)</f>
        <v>=B6*C6</v>
      </c>
      <c r="F6" s="5" t="s">
        <v>72</v>
      </c>
      <c r="G6" s="3">
        <v>45000</v>
      </c>
      <c r="H6" s="8">
        <f t="shared" ref="H6:H10" si="2">G6*J$2</f>
        <v>4500</v>
      </c>
      <c r="I6" s="9" t="str">
        <f t="shared" ref="I6:I10" ca="1" si="3">_xlfn.FORMULATEXT(H6)</f>
        <v>=G6*J$2</v>
      </c>
    </row>
    <row r="7" spans="1:14" x14ac:dyDescent="0.35">
      <c r="A7" s="3" t="s">
        <v>79</v>
      </c>
      <c r="B7" s="3">
        <v>454</v>
      </c>
      <c r="C7" s="3">
        <v>6.7</v>
      </c>
      <c r="D7" s="3">
        <f t="shared" si="0"/>
        <v>3041.8</v>
      </c>
      <c r="E7" s="3" t="str">
        <f t="shared" ca="1" si="1"/>
        <v>=B7*C7</v>
      </c>
      <c r="F7" s="5" t="s">
        <v>71</v>
      </c>
      <c r="G7" s="3">
        <v>34005</v>
      </c>
      <c r="H7" s="8">
        <f t="shared" si="2"/>
        <v>3400.5</v>
      </c>
      <c r="I7" s="9" t="str">
        <f t="shared" ca="1" si="3"/>
        <v>=G7*J$2</v>
      </c>
    </row>
    <row r="8" spans="1:14" x14ac:dyDescent="0.35">
      <c r="A8" s="3" t="s">
        <v>78</v>
      </c>
      <c r="B8" s="3">
        <v>65</v>
      </c>
      <c r="C8" s="3">
        <v>8.1999999999999993</v>
      </c>
      <c r="D8" s="3">
        <f t="shared" si="0"/>
        <v>533</v>
      </c>
      <c r="E8" s="3" t="str">
        <f t="shared" ca="1" si="1"/>
        <v>=B8*C8</v>
      </c>
      <c r="F8" s="5" t="s">
        <v>70</v>
      </c>
      <c r="G8" s="3">
        <v>23900</v>
      </c>
      <c r="H8" s="8">
        <f t="shared" si="2"/>
        <v>2390</v>
      </c>
      <c r="I8" s="9" t="str">
        <f t="shared" ca="1" si="3"/>
        <v>=G8*J$2</v>
      </c>
    </row>
    <row r="9" spans="1:14" x14ac:dyDescent="0.35">
      <c r="A9" s="3" t="s">
        <v>77</v>
      </c>
      <c r="B9" s="3">
        <v>34</v>
      </c>
      <c r="C9" s="3">
        <v>5.5</v>
      </c>
      <c r="D9" s="3">
        <f t="shared" si="0"/>
        <v>187</v>
      </c>
      <c r="E9" s="3" t="str">
        <f t="shared" ca="1" si="1"/>
        <v>=B9*C9</v>
      </c>
      <c r="F9" s="5" t="s">
        <v>69</v>
      </c>
      <c r="G9" s="3">
        <v>32000</v>
      </c>
      <c r="H9" s="8">
        <f t="shared" si="2"/>
        <v>3200</v>
      </c>
      <c r="I9" s="9" t="str">
        <f t="shared" ca="1" si="3"/>
        <v>=G9*J$2</v>
      </c>
    </row>
    <row r="10" spans="1:14" x14ac:dyDescent="0.35">
      <c r="A10" s="3" t="s">
        <v>76</v>
      </c>
      <c r="B10" s="3">
        <v>45</v>
      </c>
      <c r="C10" s="3">
        <v>3.8</v>
      </c>
      <c r="D10" s="3">
        <f t="shared" si="0"/>
        <v>171</v>
      </c>
      <c r="E10" s="3" t="str">
        <f t="shared" ca="1" si="1"/>
        <v>=B10*C10</v>
      </c>
      <c r="F10" s="5" t="s">
        <v>68</v>
      </c>
      <c r="G10" s="3">
        <v>12000</v>
      </c>
      <c r="H10" s="8">
        <f t="shared" si="2"/>
        <v>1200</v>
      </c>
      <c r="I10" s="9" t="str">
        <f t="shared" ca="1" si="3"/>
        <v>=G10*J$2</v>
      </c>
    </row>
    <row r="11" spans="1:14" x14ac:dyDescent="0.35">
      <c r="A11" s="3" t="s">
        <v>75</v>
      </c>
      <c r="B11" s="3">
        <v>32</v>
      </c>
      <c r="C11" s="3">
        <v>7.4</v>
      </c>
      <c r="D11" s="3">
        <f t="shared" si="0"/>
        <v>236.8</v>
      </c>
      <c r="E11" s="3" t="str">
        <f t="shared" ca="1" si="1"/>
        <v>=B11*C11</v>
      </c>
    </row>
    <row r="13" spans="1:14" x14ac:dyDescent="0.35">
      <c r="A13" s="15" t="s">
        <v>91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4" x14ac:dyDescent="0.35">
      <c r="A14" t="s">
        <v>92</v>
      </c>
      <c r="B14">
        <v>10</v>
      </c>
      <c r="C14">
        <v>20</v>
      </c>
      <c r="D14">
        <v>30</v>
      </c>
      <c r="E14">
        <v>40</v>
      </c>
      <c r="F14">
        <v>50</v>
      </c>
    </row>
    <row r="15" spans="1:14" x14ac:dyDescent="0.35">
      <c r="A15" t="s">
        <v>93</v>
      </c>
      <c r="B15">
        <f>B14+5</f>
        <v>15</v>
      </c>
      <c r="C15">
        <f t="shared" ref="C15:F15" si="4">C14+5</f>
        <v>25</v>
      </c>
      <c r="D15">
        <f t="shared" si="4"/>
        <v>35</v>
      </c>
      <c r="E15">
        <f t="shared" si="4"/>
        <v>45</v>
      </c>
      <c r="F15">
        <f t="shared" si="4"/>
        <v>55</v>
      </c>
    </row>
    <row r="16" spans="1:14" x14ac:dyDescent="0.35">
      <c r="A16" t="s">
        <v>90</v>
      </c>
      <c r="B16" t="str">
        <f ca="1">_xlfn.FORMULATEXT(B15)</f>
        <v>=B14+5</v>
      </c>
      <c r="C16" t="str">
        <f t="shared" ref="C16:F16" ca="1" si="5">_xlfn.FORMULATEXT(C15)</f>
        <v>=C14+5</v>
      </c>
      <c r="D16" t="str">
        <f t="shared" ca="1" si="5"/>
        <v>=D14+5</v>
      </c>
      <c r="E16" t="str">
        <f t="shared" ca="1" si="5"/>
        <v>=E14+5</v>
      </c>
      <c r="F16" t="str">
        <f t="shared" ca="1" si="5"/>
        <v>=F14+5</v>
      </c>
    </row>
    <row r="17" spans="6:12" x14ac:dyDescent="0.35">
      <c r="F17" s="3" t="s">
        <v>74</v>
      </c>
      <c r="G17" s="3" t="s">
        <v>73</v>
      </c>
      <c r="H17" s="3" t="s">
        <v>72</v>
      </c>
      <c r="I17" s="3" t="s">
        <v>71</v>
      </c>
      <c r="J17" s="3" t="s">
        <v>70</v>
      </c>
      <c r="K17" s="3" t="s">
        <v>69</v>
      </c>
      <c r="L17" s="3" t="s">
        <v>68</v>
      </c>
    </row>
    <row r="18" spans="6:12" x14ac:dyDescent="0.35">
      <c r="F18" s="3" t="s">
        <v>67</v>
      </c>
      <c r="G18" s="3">
        <v>8900</v>
      </c>
      <c r="H18" s="3">
        <v>45000</v>
      </c>
      <c r="I18" s="3">
        <v>34005</v>
      </c>
      <c r="J18" s="3">
        <v>23900</v>
      </c>
      <c r="K18" s="3">
        <v>32000</v>
      </c>
      <c r="L18" s="3">
        <v>12000</v>
      </c>
    </row>
    <row r="19" spans="6:12" x14ac:dyDescent="0.35">
      <c r="F19" s="3" t="s">
        <v>66</v>
      </c>
      <c r="G19" s="3">
        <f>G18*$J2</f>
        <v>890</v>
      </c>
      <c r="H19" s="3">
        <f t="shared" ref="H19:L19" si="6">H18*$J2</f>
        <v>4500</v>
      </c>
      <c r="I19" s="3">
        <f t="shared" si="6"/>
        <v>3400.5</v>
      </c>
      <c r="J19" s="3">
        <f t="shared" si="6"/>
        <v>2390</v>
      </c>
      <c r="K19" s="3">
        <f t="shared" si="6"/>
        <v>3200</v>
      </c>
      <c r="L19" s="3">
        <f t="shared" si="6"/>
        <v>1200</v>
      </c>
    </row>
    <row r="20" spans="6:12" x14ac:dyDescent="0.35">
      <c r="F20" t="s">
        <v>90</v>
      </c>
      <c r="G20" t="str">
        <f ca="1">_xlfn.FORMULATEXT(G19)</f>
        <v>=G18*$J2</v>
      </c>
      <c r="H20" t="str">
        <f t="shared" ref="H20:L20" ca="1" si="7">_xlfn.FORMULATEXT(H19)</f>
        <v>=H18*$J2</v>
      </c>
      <c r="I20" t="str">
        <f t="shared" ca="1" si="7"/>
        <v>=I18*$J2</v>
      </c>
      <c r="J20" t="str">
        <f t="shared" ca="1" si="7"/>
        <v>=J18*$J2</v>
      </c>
      <c r="K20" t="str">
        <f t="shared" ca="1" si="7"/>
        <v>=K18*$J2</v>
      </c>
      <c r="L20" t="str">
        <f t="shared" ca="1" si="7"/>
        <v>=L18*$J2</v>
      </c>
    </row>
  </sheetData>
  <mergeCells count="6">
    <mergeCell ref="A3:D3"/>
    <mergeCell ref="F3:H3"/>
    <mergeCell ref="A1:F1"/>
    <mergeCell ref="A13:J13"/>
    <mergeCell ref="J4:N4"/>
    <mergeCell ref="J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10985-8B6A-4B0F-AEC1-6786C2EAB7A8}">
  <dimension ref="A1:K22"/>
  <sheetViews>
    <sheetView tabSelected="1" zoomScale="90" zoomScaleNormal="120" workbookViewId="0">
      <selection activeCell="I17" sqref="I17"/>
    </sheetView>
  </sheetViews>
  <sheetFormatPr defaultRowHeight="14.5" x14ac:dyDescent="0.35"/>
  <cols>
    <col min="1" max="1" width="9.54296875" bestFit="1" customWidth="1"/>
    <col min="2" max="2" width="14.90625" bestFit="1" customWidth="1"/>
    <col min="3" max="3" width="10.6328125" bestFit="1" customWidth="1"/>
    <col min="4" max="4" width="10.08984375" bestFit="1" customWidth="1"/>
    <col min="5" max="5" width="6.81640625" bestFit="1" customWidth="1"/>
    <col min="6" max="6" width="11.08984375" bestFit="1" customWidth="1"/>
    <col min="7" max="7" width="15.1796875" customWidth="1"/>
    <col min="10" max="10" width="15.9062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60</v>
      </c>
      <c r="F1" s="1" t="s">
        <v>4</v>
      </c>
      <c r="G1" s="1" t="s">
        <v>65</v>
      </c>
    </row>
    <row r="2" spans="1:11" x14ac:dyDescent="0.35">
      <c r="A2" s="2">
        <v>1</v>
      </c>
      <c r="B2" s="3" t="s">
        <v>6</v>
      </c>
      <c r="C2" s="3" t="s">
        <v>7</v>
      </c>
      <c r="D2" s="3" t="s">
        <v>8</v>
      </c>
      <c r="E2" s="3" t="s">
        <v>61</v>
      </c>
      <c r="F2" s="3" t="s">
        <v>9</v>
      </c>
      <c r="G2" s="3">
        <v>35000</v>
      </c>
    </row>
    <row r="3" spans="1:11" x14ac:dyDescent="0.35">
      <c r="A3" s="2">
        <v>2</v>
      </c>
      <c r="B3" s="3" t="s">
        <v>10</v>
      </c>
      <c r="C3" s="3" t="s">
        <v>11</v>
      </c>
      <c r="D3" s="3" t="s">
        <v>12</v>
      </c>
      <c r="E3" s="3" t="s">
        <v>62</v>
      </c>
      <c r="F3" s="4" t="s">
        <v>13</v>
      </c>
      <c r="G3" s="3">
        <v>12888</v>
      </c>
    </row>
    <row r="4" spans="1:11" x14ac:dyDescent="0.35">
      <c r="A4" s="2">
        <v>3</v>
      </c>
      <c r="B4" s="3" t="s">
        <v>14</v>
      </c>
      <c r="C4" s="3" t="s">
        <v>15</v>
      </c>
      <c r="D4" s="3" t="s">
        <v>16</v>
      </c>
      <c r="E4" s="3" t="s">
        <v>62</v>
      </c>
      <c r="F4" s="3" t="s">
        <v>17</v>
      </c>
      <c r="G4" s="5">
        <v>11250</v>
      </c>
      <c r="I4" s="10" t="s">
        <v>0</v>
      </c>
      <c r="J4" s="10" t="s">
        <v>1</v>
      </c>
      <c r="K4" s="1" t="s">
        <v>5</v>
      </c>
    </row>
    <row r="5" spans="1:11" x14ac:dyDescent="0.35">
      <c r="A5" s="2">
        <v>4</v>
      </c>
      <c r="B5" s="3" t="s">
        <v>18</v>
      </c>
      <c r="C5" s="3" t="s">
        <v>19</v>
      </c>
      <c r="D5" s="3" t="s">
        <v>20</v>
      </c>
      <c r="E5" s="3" t="s">
        <v>63</v>
      </c>
      <c r="F5" s="6" t="s">
        <v>21</v>
      </c>
      <c r="G5" s="3">
        <v>8700</v>
      </c>
      <c r="I5">
        <v>1</v>
      </c>
      <c r="J5" t="str">
        <f t="shared" ref="J5:J11" si="0">VLOOKUP(I5,Main_Table1,2,FALSE)</f>
        <v>JP Kumar</v>
      </c>
      <c r="K5">
        <f t="shared" ref="K5:K11" si="1">VLOOKUP(I5,Main_Table1,7,FALSE)</f>
        <v>35000</v>
      </c>
    </row>
    <row r="6" spans="1:11" x14ac:dyDescent="0.35">
      <c r="A6" s="2">
        <v>5</v>
      </c>
      <c r="B6" s="3" t="s">
        <v>22</v>
      </c>
      <c r="C6" s="3" t="s">
        <v>23</v>
      </c>
      <c r="D6" s="3" t="s">
        <v>12</v>
      </c>
      <c r="E6" s="3" t="s">
        <v>62</v>
      </c>
      <c r="F6" s="3" t="s">
        <v>9</v>
      </c>
      <c r="G6" s="3">
        <v>16250</v>
      </c>
      <c r="I6">
        <v>5</v>
      </c>
      <c r="J6" t="str">
        <f t="shared" si="0"/>
        <v>Sanjay Gupta</v>
      </c>
      <c r="K6">
        <f t="shared" si="1"/>
        <v>16250</v>
      </c>
    </row>
    <row r="7" spans="1:11" x14ac:dyDescent="0.35">
      <c r="A7" s="2">
        <v>6</v>
      </c>
      <c r="B7" s="3" t="s">
        <v>24</v>
      </c>
      <c r="C7" s="3" t="s">
        <v>25</v>
      </c>
      <c r="D7" s="3" t="s">
        <v>26</v>
      </c>
      <c r="E7" s="3" t="s">
        <v>64</v>
      </c>
      <c r="F7" s="3" t="s">
        <v>13</v>
      </c>
      <c r="G7" s="3">
        <v>15000</v>
      </c>
      <c r="I7">
        <v>8</v>
      </c>
      <c r="J7" t="str">
        <f t="shared" si="0"/>
        <v>Manisha Guha</v>
      </c>
      <c r="K7">
        <f t="shared" si="1"/>
        <v>6275</v>
      </c>
    </row>
    <row r="8" spans="1:11" x14ac:dyDescent="0.35">
      <c r="A8" s="2">
        <v>7</v>
      </c>
      <c r="B8" s="3" t="s">
        <v>27</v>
      </c>
      <c r="C8" s="3" t="s">
        <v>28</v>
      </c>
      <c r="D8" s="3" t="s">
        <v>29</v>
      </c>
      <c r="E8" s="3" t="s">
        <v>64</v>
      </c>
      <c r="F8" s="3" t="s">
        <v>17</v>
      </c>
      <c r="G8" s="3">
        <v>4500</v>
      </c>
      <c r="I8">
        <v>12</v>
      </c>
      <c r="J8" t="str">
        <f t="shared" si="0"/>
        <v>Shahid Khan</v>
      </c>
      <c r="K8">
        <f t="shared" si="1"/>
        <v>10000</v>
      </c>
    </row>
    <row r="9" spans="1:11" x14ac:dyDescent="0.35">
      <c r="A9" s="2">
        <v>8</v>
      </c>
      <c r="B9" s="3" t="s">
        <v>30</v>
      </c>
      <c r="C9" s="3" t="s">
        <v>31</v>
      </c>
      <c r="D9" s="3" t="s">
        <v>29</v>
      </c>
      <c r="E9" s="3" t="s">
        <v>64</v>
      </c>
      <c r="F9" s="3" t="s">
        <v>21</v>
      </c>
      <c r="G9" s="3">
        <v>6275</v>
      </c>
      <c r="I9">
        <v>22</v>
      </c>
      <c r="J9" t="e">
        <f t="shared" si="0"/>
        <v>#N/A</v>
      </c>
      <c r="K9" t="e">
        <f t="shared" si="1"/>
        <v>#N/A</v>
      </c>
    </row>
    <row r="10" spans="1:11" x14ac:dyDescent="0.35">
      <c r="A10" s="2">
        <v>9</v>
      </c>
      <c r="B10" s="3" t="s">
        <v>32</v>
      </c>
      <c r="C10" s="3" t="s">
        <v>33</v>
      </c>
      <c r="D10" s="3" t="s">
        <v>34</v>
      </c>
      <c r="E10" s="3" t="s">
        <v>61</v>
      </c>
      <c r="F10" s="3" t="s">
        <v>9</v>
      </c>
      <c r="G10" s="3">
        <v>6250</v>
      </c>
      <c r="I10">
        <v>38</v>
      </c>
      <c r="J10" t="e">
        <f t="shared" si="0"/>
        <v>#N/A</v>
      </c>
      <c r="K10" t="e">
        <f t="shared" si="1"/>
        <v>#N/A</v>
      </c>
    </row>
    <row r="11" spans="1:11" x14ac:dyDescent="0.35">
      <c r="A11" s="2">
        <v>10</v>
      </c>
      <c r="B11" s="3" t="s">
        <v>35</v>
      </c>
      <c r="C11" s="3" t="s">
        <v>36</v>
      </c>
      <c r="D11" s="3" t="s">
        <v>37</v>
      </c>
      <c r="E11" s="3" t="s">
        <v>63</v>
      </c>
      <c r="F11" s="3" t="s">
        <v>13</v>
      </c>
      <c r="G11" s="3">
        <v>8750</v>
      </c>
      <c r="I11">
        <v>3</v>
      </c>
      <c r="J11" t="str">
        <f t="shared" si="0"/>
        <v>Priya Agarwal</v>
      </c>
      <c r="K11">
        <f t="shared" si="1"/>
        <v>11250</v>
      </c>
    </row>
    <row r="12" spans="1:11" x14ac:dyDescent="0.35">
      <c r="A12" s="2">
        <v>11</v>
      </c>
      <c r="B12" s="3" t="s">
        <v>38</v>
      </c>
      <c r="C12" s="3" t="s">
        <v>39</v>
      </c>
      <c r="D12" s="3" t="s">
        <v>40</v>
      </c>
      <c r="E12" s="3" t="s">
        <v>63</v>
      </c>
      <c r="F12" s="3" t="s">
        <v>17</v>
      </c>
      <c r="G12" s="3">
        <v>11250</v>
      </c>
    </row>
    <row r="13" spans="1:11" x14ac:dyDescent="0.35">
      <c r="A13" s="2">
        <v>12</v>
      </c>
      <c r="B13" s="3" t="s">
        <v>41</v>
      </c>
      <c r="C13" s="3" t="s">
        <v>42</v>
      </c>
      <c r="D13" s="3" t="s">
        <v>43</v>
      </c>
      <c r="E13" s="3" t="s">
        <v>63</v>
      </c>
      <c r="F13" s="3" t="s">
        <v>21</v>
      </c>
      <c r="G13" s="3">
        <v>10000</v>
      </c>
    </row>
    <row r="14" spans="1:11" x14ac:dyDescent="0.35">
      <c r="A14" s="2">
        <v>13</v>
      </c>
      <c r="B14" s="3" t="s">
        <v>44</v>
      </c>
      <c r="C14" s="3" t="s">
        <v>11</v>
      </c>
      <c r="D14" s="3" t="s">
        <v>45</v>
      </c>
      <c r="E14" s="3" t="s">
        <v>63</v>
      </c>
      <c r="F14" s="3" t="s">
        <v>9</v>
      </c>
      <c r="G14" s="3">
        <v>16250</v>
      </c>
    </row>
    <row r="15" spans="1:11" x14ac:dyDescent="0.35">
      <c r="A15" s="2">
        <v>14</v>
      </c>
      <c r="B15" s="3" t="s">
        <v>46</v>
      </c>
      <c r="C15" s="3" t="s">
        <v>15</v>
      </c>
      <c r="D15" s="3" t="s">
        <v>43</v>
      </c>
      <c r="E15" s="3" t="s">
        <v>63</v>
      </c>
      <c r="F15" s="3" t="s">
        <v>13</v>
      </c>
      <c r="G15" s="3">
        <v>6400</v>
      </c>
    </row>
    <row r="16" spans="1:11" x14ac:dyDescent="0.35">
      <c r="A16" s="2">
        <v>15</v>
      </c>
      <c r="B16" s="3" t="s">
        <v>47</v>
      </c>
      <c r="C16" s="3" t="s">
        <v>48</v>
      </c>
      <c r="D16" s="3" t="s">
        <v>12</v>
      </c>
      <c r="E16" s="3" t="s">
        <v>62</v>
      </c>
      <c r="F16" s="3" t="s">
        <v>17</v>
      </c>
      <c r="G16" s="3">
        <v>4500</v>
      </c>
    </row>
    <row r="17" spans="1:8" x14ac:dyDescent="0.35">
      <c r="A17" s="2">
        <v>16</v>
      </c>
      <c r="B17" s="3" t="s">
        <v>49</v>
      </c>
      <c r="C17" s="3" t="s">
        <v>31</v>
      </c>
      <c r="D17" s="3" t="s">
        <v>43</v>
      </c>
      <c r="E17" s="3" t="s">
        <v>63</v>
      </c>
      <c r="F17" s="3" t="s">
        <v>21</v>
      </c>
      <c r="G17" s="3">
        <v>6275</v>
      </c>
    </row>
    <row r="18" spans="1:8" x14ac:dyDescent="0.35">
      <c r="A18" s="2">
        <v>17</v>
      </c>
      <c r="B18" s="3" t="s">
        <v>50</v>
      </c>
      <c r="C18" s="3" t="s">
        <v>51</v>
      </c>
      <c r="D18" s="3" t="s">
        <v>8</v>
      </c>
      <c r="E18" s="3" t="s">
        <v>61</v>
      </c>
      <c r="F18" s="3" t="s">
        <v>52</v>
      </c>
      <c r="G18" s="3">
        <v>6250</v>
      </c>
    </row>
    <row r="19" spans="1:8" x14ac:dyDescent="0.35">
      <c r="A19" s="2">
        <v>18</v>
      </c>
      <c r="B19" s="3" t="s">
        <v>53</v>
      </c>
      <c r="C19" s="3" t="s">
        <v>54</v>
      </c>
      <c r="D19" s="3" t="s">
        <v>8</v>
      </c>
      <c r="E19" s="3" t="s">
        <v>61</v>
      </c>
      <c r="F19" s="3" t="s">
        <v>21</v>
      </c>
      <c r="G19" s="3">
        <v>8750</v>
      </c>
    </row>
    <row r="20" spans="1:8" x14ac:dyDescent="0.35">
      <c r="A20" s="2">
        <v>19</v>
      </c>
      <c r="B20" s="3" t="s">
        <v>55</v>
      </c>
      <c r="C20" s="3" t="s">
        <v>56</v>
      </c>
      <c r="D20" s="3" t="s">
        <v>57</v>
      </c>
      <c r="E20" s="3" t="s">
        <v>61</v>
      </c>
      <c r="F20" s="3" t="s">
        <v>52</v>
      </c>
      <c r="G20" s="3">
        <v>25000</v>
      </c>
    </row>
    <row r="21" spans="1:8" x14ac:dyDescent="0.35">
      <c r="A21" s="11">
        <v>30</v>
      </c>
      <c r="B21" s="4" t="s">
        <v>58</v>
      </c>
      <c r="C21" s="4" t="s">
        <v>59</v>
      </c>
      <c r="D21" s="4" t="s">
        <v>16</v>
      </c>
      <c r="E21" s="4" t="s">
        <v>62</v>
      </c>
      <c r="F21" s="4" t="s">
        <v>9</v>
      </c>
      <c r="G21" s="4">
        <v>10000</v>
      </c>
    </row>
    <row r="22" spans="1:8" x14ac:dyDescent="0.35">
      <c r="A22" s="18" t="s">
        <v>96</v>
      </c>
      <c r="B22" s="19"/>
      <c r="C22" s="19"/>
      <c r="D22" s="19"/>
      <c r="E22" s="19"/>
      <c r="F22" s="19"/>
      <c r="G22" s="20"/>
      <c r="H22" s="3"/>
    </row>
  </sheetData>
  <mergeCells count="1">
    <mergeCell ref="A22:G2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Referencing</vt:lpstr>
      <vt:lpstr>Source(Vlookup)</vt:lpstr>
      <vt:lpstr>Main_Table1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KRISHNA KAYYAM</dc:creator>
  <cp:lastModifiedBy>Singh, Ankita {PEP}</cp:lastModifiedBy>
  <dcterms:created xsi:type="dcterms:W3CDTF">2015-06-05T18:17:20Z</dcterms:created>
  <dcterms:modified xsi:type="dcterms:W3CDTF">2025-11-16T14:11:51Z</dcterms:modified>
</cp:coreProperties>
</file>